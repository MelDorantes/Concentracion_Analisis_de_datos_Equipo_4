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valeriagiselconchavaldovinos/Downloads/VisualStudio/demosStreamlit/"/>
    </mc:Choice>
  </mc:AlternateContent>
  <xr:revisionPtr revIDLastSave="0" documentId="13_ncr:1_{1695C21E-7F18-074C-9627-C0A34E78D4E1}" xr6:coauthVersionLast="47" xr6:coauthVersionMax="47" xr10:uidLastSave="{00000000-0000-0000-0000-000000000000}"/>
  <bookViews>
    <workbookView xWindow="0" yWindow="720" windowWidth="29400" windowHeight="18400" xr2:uid="{6E15A81E-0CB4-41D8-BE06-EF9A3C3D7E92}"/>
  </bookViews>
  <sheets>
    <sheet name="Instrucciones Generales" sheetId="4" r:id="rId1"/>
    <sheet name="Plantilla" sheetId="3" r:id="rId2"/>
    <sheet name="Ejemplo" sheetId="2" r:id="rId3"/>
  </sheets>
  <definedNames>
    <definedName name="_xlnm._FilterDatabase" localSheetId="2" hidden="1">Ejemplo!$A$1:$S$57</definedName>
    <definedName name="_xlnm._FilterDatabase" localSheetId="1" hidden="1">Plantilla!$A$1:$S$57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G2" i="3"/>
  <c r="R57" i="3"/>
  <c r="S57" i="3" s="1"/>
  <c r="Q57" i="3"/>
  <c r="P57" i="3"/>
  <c r="O57" i="3"/>
  <c r="L57" i="3"/>
  <c r="J57" i="3"/>
  <c r="I57" i="3"/>
  <c r="G57" i="3"/>
  <c r="R56" i="3"/>
  <c r="Q56" i="3"/>
  <c r="P56" i="3"/>
  <c r="O56" i="3"/>
  <c r="L56" i="3"/>
  <c r="J56" i="3"/>
  <c r="I56" i="3"/>
  <c r="G56" i="3"/>
  <c r="R55" i="3"/>
  <c r="S55" i="3" s="1"/>
  <c r="Q55" i="3"/>
  <c r="P55" i="3"/>
  <c r="O55" i="3"/>
  <c r="L55" i="3"/>
  <c r="J55" i="3"/>
  <c r="I55" i="3"/>
  <c r="G55" i="3"/>
  <c r="S54" i="3"/>
  <c r="R54" i="3"/>
  <c r="Q54" i="3"/>
  <c r="P54" i="3"/>
  <c r="O54" i="3"/>
  <c r="L54" i="3"/>
  <c r="J54" i="3"/>
  <c r="I54" i="3"/>
  <c r="G54" i="3"/>
  <c r="R53" i="3"/>
  <c r="S53" i="3" s="1"/>
  <c r="Q53" i="3"/>
  <c r="P53" i="3"/>
  <c r="O53" i="3"/>
  <c r="L53" i="3"/>
  <c r="J53" i="3"/>
  <c r="I53" i="3"/>
  <c r="G53" i="3"/>
  <c r="R52" i="3"/>
  <c r="S52" i="3" s="1"/>
  <c r="Q52" i="3"/>
  <c r="P52" i="3"/>
  <c r="O52" i="3"/>
  <c r="L52" i="3"/>
  <c r="J52" i="3"/>
  <c r="I52" i="3"/>
  <c r="G52" i="3"/>
  <c r="R51" i="3"/>
  <c r="Q51" i="3"/>
  <c r="P51" i="3"/>
  <c r="O51" i="3"/>
  <c r="L51" i="3"/>
  <c r="J51" i="3"/>
  <c r="I51" i="3"/>
  <c r="G51" i="3"/>
  <c r="S50" i="3"/>
  <c r="R50" i="3"/>
  <c r="S51" i="3" s="1"/>
  <c r="Q50" i="3"/>
  <c r="P50" i="3"/>
  <c r="O50" i="3"/>
  <c r="L50" i="3"/>
  <c r="J50" i="3"/>
  <c r="I50" i="3"/>
  <c r="G50" i="3"/>
  <c r="R49" i="3"/>
  <c r="S49" i="3" s="1"/>
  <c r="Q49" i="3"/>
  <c r="P49" i="3"/>
  <c r="O49" i="3"/>
  <c r="L49" i="3"/>
  <c r="J49" i="3"/>
  <c r="I49" i="3"/>
  <c r="G49" i="3"/>
  <c r="R48" i="3"/>
  <c r="Q48" i="3"/>
  <c r="P48" i="3"/>
  <c r="O48" i="3"/>
  <c r="L48" i="3"/>
  <c r="J48" i="3"/>
  <c r="I48" i="3"/>
  <c r="G48" i="3"/>
  <c r="R47" i="3"/>
  <c r="S47" i="3" s="1"/>
  <c r="Q47" i="3"/>
  <c r="P47" i="3"/>
  <c r="O47" i="3"/>
  <c r="L47" i="3"/>
  <c r="J47" i="3"/>
  <c r="I47" i="3"/>
  <c r="G47" i="3"/>
  <c r="S46" i="3"/>
  <c r="R46" i="3"/>
  <c r="Q46" i="3"/>
  <c r="P46" i="3"/>
  <c r="O46" i="3"/>
  <c r="L46" i="3"/>
  <c r="J46" i="3"/>
  <c r="I46" i="3"/>
  <c r="G46" i="3"/>
  <c r="R45" i="3"/>
  <c r="S45" i="3" s="1"/>
  <c r="Q45" i="3"/>
  <c r="P45" i="3"/>
  <c r="O45" i="3"/>
  <c r="L45" i="3"/>
  <c r="J45" i="3"/>
  <c r="I45" i="3"/>
  <c r="G45" i="3"/>
  <c r="R44" i="3"/>
  <c r="Q44" i="3"/>
  <c r="P44" i="3"/>
  <c r="O44" i="3"/>
  <c r="L44" i="3"/>
  <c r="J44" i="3"/>
  <c r="I44" i="3"/>
  <c r="G44" i="3"/>
  <c r="R43" i="3"/>
  <c r="S43" i="3" s="1"/>
  <c r="Q43" i="3"/>
  <c r="P43" i="3"/>
  <c r="O43" i="3"/>
  <c r="L43" i="3"/>
  <c r="J43" i="3"/>
  <c r="I43" i="3"/>
  <c r="G43" i="3"/>
  <c r="S42" i="3"/>
  <c r="R42" i="3"/>
  <c r="Q42" i="3"/>
  <c r="P42" i="3"/>
  <c r="O42" i="3"/>
  <c r="L42" i="3"/>
  <c r="J42" i="3"/>
  <c r="I42" i="3"/>
  <c r="G42" i="3"/>
  <c r="R41" i="3"/>
  <c r="S41" i="3" s="1"/>
  <c r="Q41" i="3"/>
  <c r="P41" i="3"/>
  <c r="O41" i="3"/>
  <c r="L41" i="3"/>
  <c r="J41" i="3"/>
  <c r="I41" i="3"/>
  <c r="G41" i="3"/>
  <c r="R40" i="3"/>
  <c r="Q40" i="3"/>
  <c r="P40" i="3"/>
  <c r="O40" i="3"/>
  <c r="L40" i="3"/>
  <c r="J40" i="3"/>
  <c r="I40" i="3"/>
  <c r="G40" i="3"/>
  <c r="R39" i="3"/>
  <c r="S40" i="3" s="1"/>
  <c r="Q39" i="3"/>
  <c r="P39" i="3"/>
  <c r="O39" i="3"/>
  <c r="L39" i="3"/>
  <c r="J39" i="3"/>
  <c r="I39" i="3"/>
  <c r="G39" i="3"/>
  <c r="S38" i="3"/>
  <c r="R38" i="3"/>
  <c r="S39" i="3" s="1"/>
  <c r="Q38" i="3"/>
  <c r="P38" i="3"/>
  <c r="O38" i="3"/>
  <c r="L38" i="3"/>
  <c r="J38" i="3"/>
  <c r="I38" i="3"/>
  <c r="G38" i="3"/>
  <c r="R37" i="3"/>
  <c r="Q37" i="3"/>
  <c r="P37" i="3"/>
  <c r="O37" i="3"/>
  <c r="L37" i="3"/>
  <c r="J37" i="3"/>
  <c r="I37" i="3"/>
  <c r="G37" i="3"/>
  <c r="R36" i="3"/>
  <c r="S37" i="3" s="1"/>
  <c r="Q36" i="3"/>
  <c r="P36" i="3"/>
  <c r="O36" i="3"/>
  <c r="L36" i="3"/>
  <c r="J36" i="3"/>
  <c r="I36" i="3"/>
  <c r="G36" i="3"/>
  <c r="R35" i="3"/>
  <c r="S36" i="3" s="1"/>
  <c r="Q35" i="3"/>
  <c r="P35" i="3"/>
  <c r="O35" i="3"/>
  <c r="L35" i="3"/>
  <c r="J35" i="3"/>
  <c r="I35" i="3"/>
  <c r="G35" i="3"/>
  <c r="S34" i="3"/>
  <c r="R34" i="3"/>
  <c r="S35" i="3" s="1"/>
  <c r="Q34" i="3"/>
  <c r="P34" i="3"/>
  <c r="O34" i="3"/>
  <c r="L34" i="3"/>
  <c r="J34" i="3"/>
  <c r="I34" i="3"/>
  <c r="G34" i="3"/>
  <c r="R33" i="3"/>
  <c r="S33" i="3" s="1"/>
  <c r="Q33" i="3"/>
  <c r="P33" i="3"/>
  <c r="O33" i="3"/>
  <c r="L33" i="3"/>
  <c r="J33" i="3"/>
  <c r="I33" i="3"/>
  <c r="G33" i="3"/>
  <c r="R32" i="3"/>
  <c r="S32" i="3" s="1"/>
  <c r="Q32" i="3"/>
  <c r="P32" i="3"/>
  <c r="O32" i="3"/>
  <c r="L32" i="3"/>
  <c r="J32" i="3"/>
  <c r="I32" i="3"/>
  <c r="G32" i="3"/>
  <c r="R31" i="3"/>
  <c r="S31" i="3" s="1"/>
  <c r="Q31" i="3"/>
  <c r="P31" i="3"/>
  <c r="O31" i="3"/>
  <c r="L31" i="3"/>
  <c r="J31" i="3"/>
  <c r="I31" i="3"/>
  <c r="G31" i="3"/>
  <c r="S30" i="3"/>
  <c r="R30" i="3"/>
  <c r="Q30" i="3"/>
  <c r="P30" i="3"/>
  <c r="O30" i="3"/>
  <c r="L30" i="3"/>
  <c r="J30" i="3"/>
  <c r="I30" i="3"/>
  <c r="G30" i="3"/>
  <c r="R29" i="3"/>
  <c r="Q29" i="3"/>
  <c r="P29" i="3"/>
  <c r="O29" i="3"/>
  <c r="L29" i="3"/>
  <c r="J29" i="3"/>
  <c r="I29" i="3"/>
  <c r="G29" i="3"/>
  <c r="R28" i="3"/>
  <c r="S29" i="3" s="1"/>
  <c r="Q28" i="3"/>
  <c r="P28" i="3"/>
  <c r="O28" i="3"/>
  <c r="L28" i="3"/>
  <c r="J28" i="3"/>
  <c r="I28" i="3"/>
  <c r="G28" i="3"/>
  <c r="R27" i="3"/>
  <c r="Q27" i="3"/>
  <c r="P27" i="3"/>
  <c r="O27" i="3"/>
  <c r="L27" i="3"/>
  <c r="J27" i="3"/>
  <c r="I27" i="3"/>
  <c r="G27" i="3"/>
  <c r="R26" i="3"/>
  <c r="Q26" i="3"/>
  <c r="P26" i="3"/>
  <c r="O26" i="3"/>
  <c r="L26" i="3"/>
  <c r="J26" i="3"/>
  <c r="I26" i="3"/>
  <c r="G26" i="3"/>
  <c r="R25" i="3"/>
  <c r="S26" i="3" s="1"/>
  <c r="Q25" i="3"/>
  <c r="P25" i="3"/>
  <c r="O25" i="3"/>
  <c r="L25" i="3"/>
  <c r="J25" i="3"/>
  <c r="I25" i="3"/>
  <c r="G25" i="3"/>
  <c r="R24" i="3"/>
  <c r="S27" i="3" s="1"/>
  <c r="Q24" i="3"/>
  <c r="P24" i="3"/>
  <c r="O24" i="3"/>
  <c r="L24" i="3"/>
  <c r="J24" i="3"/>
  <c r="I24" i="3"/>
  <c r="G24" i="3"/>
  <c r="R23" i="3"/>
  <c r="Q23" i="3"/>
  <c r="P23" i="3"/>
  <c r="O23" i="3"/>
  <c r="L23" i="3"/>
  <c r="J23" i="3"/>
  <c r="I23" i="3"/>
  <c r="G23" i="3"/>
  <c r="S22" i="3"/>
  <c r="R22" i="3"/>
  <c r="S23" i="3" s="1"/>
  <c r="Q22" i="3"/>
  <c r="P22" i="3"/>
  <c r="O22" i="3"/>
  <c r="L22" i="3"/>
  <c r="J22" i="3"/>
  <c r="I22" i="3"/>
  <c r="G22" i="3"/>
  <c r="R21" i="3"/>
  <c r="Q21" i="3"/>
  <c r="P21" i="3"/>
  <c r="O21" i="3"/>
  <c r="L21" i="3"/>
  <c r="J21" i="3"/>
  <c r="I21" i="3"/>
  <c r="G21" i="3"/>
  <c r="R20" i="3"/>
  <c r="S21" i="3" s="1"/>
  <c r="Q20" i="3"/>
  <c r="P20" i="3"/>
  <c r="O20" i="3"/>
  <c r="L20" i="3"/>
  <c r="J20" i="3"/>
  <c r="I20" i="3"/>
  <c r="G20" i="3"/>
  <c r="R19" i="3"/>
  <c r="S19" i="3" s="1"/>
  <c r="Q19" i="3"/>
  <c r="P19" i="3"/>
  <c r="O19" i="3"/>
  <c r="L19" i="3"/>
  <c r="J19" i="3"/>
  <c r="I19" i="3"/>
  <c r="G19" i="3"/>
  <c r="S18" i="3"/>
  <c r="R18" i="3"/>
  <c r="Q18" i="3"/>
  <c r="P18" i="3"/>
  <c r="O18" i="3"/>
  <c r="L18" i="3"/>
  <c r="J18" i="3"/>
  <c r="I18" i="3"/>
  <c r="G18" i="3"/>
  <c r="R17" i="3"/>
  <c r="S17" i="3" s="1"/>
  <c r="Q17" i="3"/>
  <c r="P17" i="3"/>
  <c r="O17" i="3"/>
  <c r="L17" i="3"/>
  <c r="J17" i="3"/>
  <c r="I17" i="3"/>
  <c r="G17" i="3"/>
  <c r="R16" i="3"/>
  <c r="S16" i="3" s="1"/>
  <c r="Q16" i="3"/>
  <c r="P16" i="3"/>
  <c r="O16" i="3"/>
  <c r="L16" i="3"/>
  <c r="J16" i="3"/>
  <c r="I16" i="3"/>
  <c r="G16" i="3"/>
  <c r="R15" i="3"/>
  <c r="S15" i="3" s="1"/>
  <c r="Q15" i="3"/>
  <c r="P15" i="3"/>
  <c r="O15" i="3"/>
  <c r="L15" i="3"/>
  <c r="J15" i="3"/>
  <c r="I15" i="3"/>
  <c r="G15" i="3"/>
  <c r="S14" i="3"/>
  <c r="R14" i="3"/>
  <c r="Q14" i="3"/>
  <c r="P14" i="3"/>
  <c r="O14" i="3"/>
  <c r="L14" i="3"/>
  <c r="J14" i="3"/>
  <c r="I14" i="3"/>
  <c r="G14" i="3"/>
  <c r="R13" i="3"/>
  <c r="Q13" i="3"/>
  <c r="P13" i="3"/>
  <c r="O13" i="3"/>
  <c r="L13" i="3"/>
  <c r="J13" i="3"/>
  <c r="I13" i="3"/>
  <c r="G13" i="3"/>
  <c r="R12" i="3"/>
  <c r="S12" i="3" s="1"/>
  <c r="Q12" i="3"/>
  <c r="P12" i="3"/>
  <c r="O12" i="3"/>
  <c r="L12" i="3"/>
  <c r="J12" i="3"/>
  <c r="I12" i="3"/>
  <c r="G12" i="3"/>
  <c r="R11" i="3"/>
  <c r="Q11" i="3"/>
  <c r="P11" i="3"/>
  <c r="O11" i="3"/>
  <c r="L11" i="3"/>
  <c r="J11" i="3"/>
  <c r="I11" i="3"/>
  <c r="G11" i="3"/>
  <c r="R10" i="3"/>
  <c r="Q10" i="3"/>
  <c r="P10" i="3"/>
  <c r="O10" i="3"/>
  <c r="L10" i="3"/>
  <c r="J10" i="3"/>
  <c r="I10" i="3"/>
  <c r="G10" i="3"/>
  <c r="R9" i="3"/>
  <c r="S9" i="3" s="1"/>
  <c r="Q9" i="3"/>
  <c r="P9" i="3"/>
  <c r="O9" i="3"/>
  <c r="L9" i="3"/>
  <c r="J9" i="3"/>
  <c r="I9" i="3"/>
  <c r="G9" i="3"/>
  <c r="R8" i="3"/>
  <c r="S11" i="3" s="1"/>
  <c r="Q8" i="3"/>
  <c r="P8" i="3"/>
  <c r="O8" i="3"/>
  <c r="L8" i="3"/>
  <c r="J8" i="3"/>
  <c r="I8" i="3"/>
  <c r="G8" i="3"/>
  <c r="R7" i="3"/>
  <c r="Q7" i="3"/>
  <c r="P7" i="3"/>
  <c r="O7" i="3"/>
  <c r="L7" i="3"/>
  <c r="J7" i="3"/>
  <c r="I7" i="3"/>
  <c r="G7" i="3"/>
  <c r="S6" i="3"/>
  <c r="R6" i="3"/>
  <c r="S7" i="3" s="1"/>
  <c r="Q6" i="3"/>
  <c r="P6" i="3"/>
  <c r="O6" i="3"/>
  <c r="L6" i="3"/>
  <c r="J6" i="3"/>
  <c r="I6" i="3"/>
  <c r="G6" i="3"/>
  <c r="R5" i="3"/>
  <c r="S5" i="3" s="1"/>
  <c r="Q5" i="3"/>
  <c r="P5" i="3"/>
  <c r="O5" i="3"/>
  <c r="L5" i="3"/>
  <c r="J5" i="3"/>
  <c r="I5" i="3"/>
  <c r="G5" i="3"/>
  <c r="R4" i="3"/>
  <c r="S4" i="3" s="1"/>
  <c r="Q4" i="3"/>
  <c r="P4" i="3"/>
  <c r="O4" i="3"/>
  <c r="L4" i="3"/>
  <c r="J4" i="3"/>
  <c r="I4" i="3"/>
  <c r="G4" i="3"/>
  <c r="R3" i="3"/>
  <c r="Q3" i="3"/>
  <c r="P3" i="3"/>
  <c r="O3" i="3"/>
  <c r="L3" i="3"/>
  <c r="J3" i="3"/>
  <c r="I3" i="3"/>
  <c r="G3" i="3"/>
  <c r="S2" i="3"/>
  <c r="R2" i="3"/>
  <c r="S3" i="3" s="1"/>
  <c r="Q2" i="3"/>
  <c r="P2" i="3"/>
  <c r="O2" i="3"/>
  <c r="J2" i="3"/>
  <c r="I2" i="3"/>
  <c r="R57" i="2"/>
  <c r="S57" i="2" s="1"/>
  <c r="Q57" i="2"/>
  <c r="P57" i="2"/>
  <c r="O57" i="2"/>
  <c r="L57" i="2"/>
  <c r="J57" i="2"/>
  <c r="I57" i="2"/>
  <c r="G57" i="2"/>
  <c r="R56" i="2"/>
  <c r="Q56" i="2"/>
  <c r="P56" i="2"/>
  <c r="O56" i="2"/>
  <c r="L56" i="2"/>
  <c r="J56" i="2"/>
  <c r="I56" i="2"/>
  <c r="G56" i="2"/>
  <c r="S55" i="2"/>
  <c r="R55" i="2"/>
  <c r="S56" i="2" s="1"/>
  <c r="Q55" i="2"/>
  <c r="P55" i="2"/>
  <c r="T55" i="2" s="1"/>
  <c r="U55" i="2" s="1"/>
  <c r="O55" i="2"/>
  <c r="L55" i="2"/>
  <c r="J55" i="2"/>
  <c r="I55" i="2"/>
  <c r="G55" i="2"/>
  <c r="S54" i="2"/>
  <c r="R54" i="2"/>
  <c r="Q54" i="2"/>
  <c r="P54" i="2"/>
  <c r="O54" i="2"/>
  <c r="L54" i="2"/>
  <c r="J54" i="2"/>
  <c r="I54" i="2"/>
  <c r="G54" i="2"/>
  <c r="R53" i="2"/>
  <c r="S52" i="2" s="1"/>
  <c r="Q53" i="2"/>
  <c r="P53" i="2"/>
  <c r="O53" i="2"/>
  <c r="L53" i="2"/>
  <c r="J53" i="2"/>
  <c r="I53" i="2"/>
  <c r="G53" i="2"/>
  <c r="R52" i="2"/>
  <c r="S53" i="2" s="1"/>
  <c r="Q52" i="2"/>
  <c r="P52" i="2"/>
  <c r="O52" i="2"/>
  <c r="L52" i="2"/>
  <c r="J52" i="2"/>
  <c r="I52" i="2"/>
  <c r="G52" i="2"/>
  <c r="R51" i="2"/>
  <c r="Q51" i="2"/>
  <c r="P51" i="2"/>
  <c r="O51" i="2"/>
  <c r="L51" i="2"/>
  <c r="J51" i="2"/>
  <c r="I51" i="2"/>
  <c r="G51" i="2"/>
  <c r="S50" i="2"/>
  <c r="R50" i="2"/>
  <c r="S51" i="2" s="1"/>
  <c r="Q50" i="2"/>
  <c r="P50" i="2"/>
  <c r="O50" i="2"/>
  <c r="L50" i="2"/>
  <c r="J50" i="2"/>
  <c r="I50" i="2"/>
  <c r="G50" i="2"/>
  <c r="R49" i="2"/>
  <c r="Q49" i="2"/>
  <c r="P49" i="2"/>
  <c r="O49" i="2"/>
  <c r="L49" i="2"/>
  <c r="J49" i="2"/>
  <c r="I49" i="2"/>
  <c r="G49" i="2"/>
  <c r="R48" i="2"/>
  <c r="Q48" i="2"/>
  <c r="P48" i="2"/>
  <c r="O48" i="2"/>
  <c r="L48" i="2"/>
  <c r="J48" i="2"/>
  <c r="I48" i="2"/>
  <c r="G48" i="2"/>
  <c r="R47" i="2"/>
  <c r="S47" i="2" s="1"/>
  <c r="Q47" i="2"/>
  <c r="P47" i="2"/>
  <c r="O47" i="2"/>
  <c r="L47" i="2"/>
  <c r="J47" i="2"/>
  <c r="I47" i="2"/>
  <c r="G47" i="2"/>
  <c r="R46" i="2"/>
  <c r="Q46" i="2"/>
  <c r="P46" i="2"/>
  <c r="O46" i="2"/>
  <c r="L46" i="2"/>
  <c r="J46" i="2"/>
  <c r="I46" i="2"/>
  <c r="G46" i="2"/>
  <c r="R45" i="2"/>
  <c r="S46" i="2" s="1"/>
  <c r="Q45" i="2"/>
  <c r="P45" i="2"/>
  <c r="O45" i="2"/>
  <c r="L45" i="2"/>
  <c r="J45" i="2"/>
  <c r="I45" i="2"/>
  <c r="G45" i="2"/>
  <c r="R44" i="2"/>
  <c r="Q44" i="2"/>
  <c r="P44" i="2"/>
  <c r="O44" i="2"/>
  <c r="L44" i="2"/>
  <c r="J44" i="2"/>
  <c r="I44" i="2"/>
  <c r="G44" i="2"/>
  <c r="R43" i="2"/>
  <c r="S43" i="2" s="1"/>
  <c r="Q43" i="2"/>
  <c r="P43" i="2"/>
  <c r="O43" i="2"/>
  <c r="L43" i="2"/>
  <c r="J43" i="2"/>
  <c r="I43" i="2"/>
  <c r="G43" i="2"/>
  <c r="S42" i="2"/>
  <c r="R42" i="2"/>
  <c r="Q42" i="2"/>
  <c r="P42" i="2"/>
  <c r="O42" i="2"/>
  <c r="L42" i="2"/>
  <c r="J42" i="2"/>
  <c r="I42" i="2"/>
  <c r="G42" i="2"/>
  <c r="R41" i="2"/>
  <c r="S41" i="2" s="1"/>
  <c r="Q41" i="2"/>
  <c r="P41" i="2"/>
  <c r="O41" i="2"/>
  <c r="L41" i="2"/>
  <c r="J41" i="2"/>
  <c r="I41" i="2"/>
  <c r="G41" i="2"/>
  <c r="R40" i="2"/>
  <c r="Q40" i="2"/>
  <c r="P40" i="2"/>
  <c r="O40" i="2"/>
  <c r="L40" i="2"/>
  <c r="J40" i="2"/>
  <c r="I40" i="2"/>
  <c r="G40" i="2"/>
  <c r="R39" i="2"/>
  <c r="S40" i="2" s="1"/>
  <c r="Q39" i="2"/>
  <c r="P39" i="2"/>
  <c r="O39" i="2"/>
  <c r="L39" i="2"/>
  <c r="J39" i="2"/>
  <c r="I39" i="2"/>
  <c r="G39" i="2"/>
  <c r="S38" i="2"/>
  <c r="R38" i="2"/>
  <c r="S39" i="2" s="1"/>
  <c r="Q38" i="2"/>
  <c r="P38" i="2"/>
  <c r="T38" i="2" s="1"/>
  <c r="U38" i="2" s="1"/>
  <c r="O38" i="2"/>
  <c r="L38" i="2"/>
  <c r="J38" i="2"/>
  <c r="I38" i="2"/>
  <c r="G38" i="2"/>
  <c r="R37" i="2"/>
  <c r="Q37" i="2"/>
  <c r="P37" i="2"/>
  <c r="O37" i="2"/>
  <c r="L37" i="2"/>
  <c r="J37" i="2"/>
  <c r="I37" i="2"/>
  <c r="G37" i="2"/>
  <c r="R36" i="2"/>
  <c r="Q36" i="2"/>
  <c r="P36" i="2"/>
  <c r="T36" i="2" s="1"/>
  <c r="U36" i="2" s="1"/>
  <c r="O36" i="2"/>
  <c r="L36" i="2"/>
  <c r="J36" i="2"/>
  <c r="I36" i="2"/>
  <c r="G36" i="2"/>
  <c r="R35" i="2"/>
  <c r="S36" i="2" s="1"/>
  <c r="Q35" i="2"/>
  <c r="P35" i="2"/>
  <c r="T35" i="2" s="1"/>
  <c r="U35" i="2" s="1"/>
  <c r="O35" i="2"/>
  <c r="L35" i="2"/>
  <c r="J35" i="2"/>
  <c r="I35" i="2"/>
  <c r="G35" i="2"/>
  <c r="S34" i="2"/>
  <c r="R34" i="2"/>
  <c r="S35" i="2" s="1"/>
  <c r="Q34" i="2"/>
  <c r="P34" i="2"/>
  <c r="O34" i="2"/>
  <c r="L34" i="2"/>
  <c r="J34" i="2"/>
  <c r="I34" i="2"/>
  <c r="G34" i="2"/>
  <c r="R33" i="2"/>
  <c r="S33" i="2" s="1"/>
  <c r="Q33" i="2"/>
  <c r="P33" i="2"/>
  <c r="O33" i="2"/>
  <c r="L33" i="2"/>
  <c r="J33" i="2"/>
  <c r="I33" i="2"/>
  <c r="G33" i="2"/>
  <c r="S32" i="2"/>
  <c r="R32" i="2"/>
  <c r="Q32" i="2"/>
  <c r="P32" i="2"/>
  <c r="O32" i="2"/>
  <c r="L32" i="2"/>
  <c r="J32" i="2"/>
  <c r="I32" i="2"/>
  <c r="G32" i="2"/>
  <c r="R31" i="2"/>
  <c r="S31" i="2" s="1"/>
  <c r="Q31" i="2"/>
  <c r="P31" i="2"/>
  <c r="O31" i="2"/>
  <c r="L31" i="2"/>
  <c r="J31" i="2"/>
  <c r="I31" i="2"/>
  <c r="G31" i="2"/>
  <c r="S30" i="2"/>
  <c r="R30" i="2"/>
  <c r="Q30" i="2"/>
  <c r="P30" i="2"/>
  <c r="O30" i="2"/>
  <c r="L30" i="2"/>
  <c r="J30" i="2"/>
  <c r="I30" i="2"/>
  <c r="G30" i="2"/>
  <c r="R29" i="2"/>
  <c r="S28" i="2" s="1"/>
  <c r="Q29" i="2"/>
  <c r="P29" i="2"/>
  <c r="O29" i="2"/>
  <c r="L29" i="2"/>
  <c r="J29" i="2"/>
  <c r="I29" i="2"/>
  <c r="G29" i="2"/>
  <c r="R28" i="2"/>
  <c r="S29" i="2" s="1"/>
  <c r="Q28" i="2"/>
  <c r="P28" i="2"/>
  <c r="O28" i="2"/>
  <c r="L28" i="2"/>
  <c r="J28" i="2"/>
  <c r="I28" i="2"/>
  <c r="G28" i="2"/>
  <c r="R27" i="2"/>
  <c r="Q27" i="2"/>
  <c r="P27" i="2"/>
  <c r="O27" i="2"/>
  <c r="L27" i="2"/>
  <c r="J27" i="2"/>
  <c r="I27" i="2"/>
  <c r="G27" i="2"/>
  <c r="S26" i="2"/>
  <c r="R26" i="2"/>
  <c r="Q26" i="2"/>
  <c r="P26" i="2"/>
  <c r="T26" i="2" s="1"/>
  <c r="U26" i="2" s="1"/>
  <c r="O26" i="2"/>
  <c r="L26" i="2"/>
  <c r="J26" i="2"/>
  <c r="I26" i="2"/>
  <c r="G26" i="2"/>
  <c r="R25" i="2"/>
  <c r="S24" i="2" s="1"/>
  <c r="Q25" i="2"/>
  <c r="P25" i="2"/>
  <c r="O25" i="2"/>
  <c r="L25" i="2"/>
  <c r="J25" i="2"/>
  <c r="I25" i="2"/>
  <c r="G25" i="2"/>
  <c r="R24" i="2"/>
  <c r="S27" i="2" s="1"/>
  <c r="Q24" i="2"/>
  <c r="P24" i="2"/>
  <c r="T24" i="2" s="1"/>
  <c r="U24" i="2" s="1"/>
  <c r="O24" i="2"/>
  <c r="L24" i="2"/>
  <c r="J24" i="2"/>
  <c r="I24" i="2"/>
  <c r="G24" i="2"/>
  <c r="R23" i="2"/>
  <c r="Q23" i="2"/>
  <c r="P23" i="2"/>
  <c r="T23" i="2" s="1"/>
  <c r="U23" i="2" s="1"/>
  <c r="O23" i="2"/>
  <c r="L23" i="2"/>
  <c r="J23" i="2"/>
  <c r="I23" i="2"/>
  <c r="G23" i="2"/>
  <c r="S22" i="2"/>
  <c r="R22" i="2"/>
  <c r="S23" i="2" s="1"/>
  <c r="Q22" i="2"/>
  <c r="P22" i="2"/>
  <c r="O22" i="2"/>
  <c r="L22" i="2"/>
  <c r="J22" i="2"/>
  <c r="I22" i="2"/>
  <c r="G22" i="2"/>
  <c r="R21" i="2"/>
  <c r="Q21" i="2"/>
  <c r="P21" i="2"/>
  <c r="O21" i="2"/>
  <c r="L21" i="2"/>
  <c r="J21" i="2"/>
  <c r="I21" i="2"/>
  <c r="G21" i="2"/>
  <c r="R20" i="2"/>
  <c r="Q20" i="2"/>
  <c r="P20" i="2"/>
  <c r="O20" i="2"/>
  <c r="L20" i="2"/>
  <c r="J20" i="2"/>
  <c r="I20" i="2"/>
  <c r="G20" i="2"/>
  <c r="R19" i="2"/>
  <c r="S19" i="2" s="1"/>
  <c r="Q19" i="2"/>
  <c r="P19" i="2"/>
  <c r="O19" i="2"/>
  <c r="L19" i="2"/>
  <c r="J19" i="2"/>
  <c r="I19" i="2"/>
  <c r="G19" i="2"/>
  <c r="S18" i="2"/>
  <c r="R18" i="2"/>
  <c r="Q18" i="2"/>
  <c r="P18" i="2"/>
  <c r="O18" i="2"/>
  <c r="L18" i="2"/>
  <c r="J18" i="2"/>
  <c r="I18" i="2"/>
  <c r="G18" i="2"/>
  <c r="R17" i="2"/>
  <c r="S16" i="2" s="1"/>
  <c r="Q17" i="2"/>
  <c r="P17" i="2"/>
  <c r="O17" i="2"/>
  <c r="L17" i="2"/>
  <c r="J17" i="2"/>
  <c r="I17" i="2"/>
  <c r="G17" i="2"/>
  <c r="R16" i="2"/>
  <c r="S17" i="2" s="1"/>
  <c r="Q16" i="2"/>
  <c r="P16" i="2"/>
  <c r="O16" i="2"/>
  <c r="L16" i="2"/>
  <c r="J16" i="2"/>
  <c r="I16" i="2"/>
  <c r="G16" i="2"/>
  <c r="R15" i="2"/>
  <c r="S15" i="2" s="1"/>
  <c r="Q15" i="2"/>
  <c r="P15" i="2"/>
  <c r="O15" i="2"/>
  <c r="L15" i="2"/>
  <c r="J15" i="2"/>
  <c r="I15" i="2"/>
  <c r="G15" i="2"/>
  <c r="S14" i="2"/>
  <c r="R14" i="2"/>
  <c r="Q14" i="2"/>
  <c r="P14" i="2"/>
  <c r="O14" i="2"/>
  <c r="L14" i="2"/>
  <c r="J14" i="2"/>
  <c r="I14" i="2"/>
  <c r="G14" i="2"/>
  <c r="R13" i="2"/>
  <c r="S12" i="2" s="1"/>
  <c r="Q13" i="2"/>
  <c r="P13" i="2"/>
  <c r="O13" i="2"/>
  <c r="L13" i="2"/>
  <c r="J13" i="2"/>
  <c r="I13" i="2"/>
  <c r="G13" i="2"/>
  <c r="R12" i="2"/>
  <c r="S13" i="2" s="1"/>
  <c r="Q12" i="2"/>
  <c r="P12" i="2"/>
  <c r="O12" i="2"/>
  <c r="L12" i="2"/>
  <c r="J12" i="2"/>
  <c r="I12" i="2"/>
  <c r="G12" i="2"/>
  <c r="R11" i="2"/>
  <c r="Q11" i="2"/>
  <c r="P11" i="2"/>
  <c r="O11" i="2"/>
  <c r="L11" i="2"/>
  <c r="J11" i="2"/>
  <c r="I11" i="2"/>
  <c r="G11" i="2"/>
  <c r="R10" i="2"/>
  <c r="Q10" i="2"/>
  <c r="P10" i="2"/>
  <c r="O10" i="2"/>
  <c r="L10" i="2"/>
  <c r="J10" i="2"/>
  <c r="I10" i="2"/>
  <c r="G10" i="2"/>
  <c r="R9" i="2"/>
  <c r="S8" i="2" s="1"/>
  <c r="Q9" i="2"/>
  <c r="P9" i="2"/>
  <c r="O9" i="2"/>
  <c r="L9" i="2"/>
  <c r="J9" i="2"/>
  <c r="I9" i="2"/>
  <c r="G9" i="2"/>
  <c r="R8" i="2"/>
  <c r="S11" i="2" s="1"/>
  <c r="Q8" i="2"/>
  <c r="P8" i="2"/>
  <c r="O8" i="2"/>
  <c r="L8" i="2"/>
  <c r="J8" i="2"/>
  <c r="I8" i="2"/>
  <c r="G8" i="2"/>
  <c r="R7" i="2"/>
  <c r="Q7" i="2"/>
  <c r="P7" i="2"/>
  <c r="O7" i="2"/>
  <c r="L7" i="2"/>
  <c r="J7" i="2"/>
  <c r="I7" i="2"/>
  <c r="G7" i="2"/>
  <c r="S6" i="2"/>
  <c r="R6" i="2"/>
  <c r="S7" i="2" s="1"/>
  <c r="Q6" i="2"/>
  <c r="P6" i="2"/>
  <c r="T6" i="2" s="1"/>
  <c r="U6" i="2" s="1"/>
  <c r="O6" i="2"/>
  <c r="L6" i="2"/>
  <c r="J6" i="2"/>
  <c r="I6" i="2"/>
  <c r="G6" i="2"/>
  <c r="R5" i="2"/>
  <c r="S5" i="2" s="1"/>
  <c r="Q5" i="2"/>
  <c r="P5" i="2"/>
  <c r="T5" i="2" s="1"/>
  <c r="U5" i="2" s="1"/>
  <c r="O5" i="2"/>
  <c r="L5" i="2"/>
  <c r="J5" i="2"/>
  <c r="I5" i="2"/>
  <c r="G5" i="2"/>
  <c r="S4" i="2"/>
  <c r="R4" i="2"/>
  <c r="Q4" i="2"/>
  <c r="P4" i="2"/>
  <c r="O4" i="2"/>
  <c r="L4" i="2"/>
  <c r="J4" i="2"/>
  <c r="I4" i="2"/>
  <c r="G4" i="2"/>
  <c r="R3" i="2"/>
  <c r="Q3" i="2"/>
  <c r="P3" i="2"/>
  <c r="O3" i="2"/>
  <c r="L3" i="2"/>
  <c r="J3" i="2"/>
  <c r="I3" i="2"/>
  <c r="G3" i="2"/>
  <c r="S2" i="2"/>
  <c r="R2" i="2"/>
  <c r="S3" i="2" s="1"/>
  <c r="Q2" i="2"/>
  <c r="P2" i="2"/>
  <c r="O2" i="2"/>
  <c r="L2" i="2"/>
  <c r="J2" i="2"/>
  <c r="I2" i="2"/>
  <c r="G2" i="2"/>
  <c r="T12" i="2" l="1"/>
  <c r="U12" i="2" s="1"/>
  <c r="T14" i="2"/>
  <c r="U14" i="2" s="1"/>
  <c r="T28" i="2"/>
  <c r="U28" i="2" s="1"/>
  <c r="T30" i="2"/>
  <c r="U30" i="2" s="1"/>
  <c r="T41" i="2"/>
  <c r="U41" i="2" s="1"/>
  <c r="T42" i="2"/>
  <c r="U42" i="2" s="1"/>
  <c r="T2" i="2"/>
  <c r="U2" i="2" s="1"/>
  <c r="T18" i="2"/>
  <c r="U18" i="2" s="1"/>
  <c r="T32" i="2"/>
  <c r="U32" i="2" s="1"/>
  <c r="T50" i="2"/>
  <c r="U50" i="2" s="1"/>
  <c r="T4" i="2"/>
  <c r="U4" i="2" s="1"/>
  <c r="T22" i="2"/>
  <c r="U22" i="2" s="1"/>
  <c r="T34" i="2"/>
  <c r="U34" i="2" s="1"/>
  <c r="T54" i="2"/>
  <c r="U54" i="2" s="1"/>
  <c r="T3" i="3"/>
  <c r="U3" i="3" s="1"/>
  <c r="T23" i="3"/>
  <c r="U23" i="3" s="1"/>
  <c r="T30" i="3"/>
  <c r="U30" i="3" s="1"/>
  <c r="T46" i="3"/>
  <c r="U46" i="3" s="1"/>
  <c r="T6" i="3"/>
  <c r="U6" i="3" s="1"/>
  <c r="T35" i="3"/>
  <c r="U35" i="3" s="1"/>
  <c r="T38" i="3"/>
  <c r="U38" i="3" s="1"/>
  <c r="T51" i="3"/>
  <c r="U51" i="3" s="1"/>
  <c r="T15" i="3"/>
  <c r="U15" i="3" s="1"/>
  <c r="T16" i="3"/>
  <c r="U16" i="3" s="1"/>
  <c r="T17" i="3"/>
  <c r="U17" i="3" s="1"/>
  <c r="T18" i="3"/>
  <c r="U18" i="3" s="1"/>
  <c r="T36" i="3"/>
  <c r="U36" i="3" s="1"/>
  <c r="T37" i="3"/>
  <c r="U37" i="3" s="1"/>
  <c r="T52" i="3"/>
  <c r="U52" i="3" s="1"/>
  <c r="T53" i="3"/>
  <c r="U53" i="3" s="1"/>
  <c r="T54" i="3"/>
  <c r="U54" i="3" s="1"/>
  <c r="T2" i="3"/>
  <c r="U2" i="3" s="1"/>
  <c r="T19" i="3"/>
  <c r="U19" i="3" s="1"/>
  <c r="T21" i="3"/>
  <c r="U21" i="3" s="1"/>
  <c r="T22" i="3"/>
  <c r="U22" i="3" s="1"/>
  <c r="T39" i="3"/>
  <c r="U39" i="3" s="1"/>
  <c r="T40" i="3"/>
  <c r="U40" i="3" s="1"/>
  <c r="T41" i="3"/>
  <c r="U41" i="3" s="1"/>
  <c r="T42" i="3"/>
  <c r="U42" i="3" s="1"/>
  <c r="T55" i="3"/>
  <c r="U55" i="3" s="1"/>
  <c r="T57" i="3"/>
  <c r="U57" i="3" s="1"/>
  <c r="T14" i="3"/>
  <c r="U14" i="3" s="1"/>
  <c r="T34" i="3"/>
  <c r="U34" i="3" s="1"/>
  <c r="T50" i="3"/>
  <c r="U50" i="3" s="1"/>
  <c r="T4" i="3"/>
  <c r="U4" i="3" s="1"/>
  <c r="T5" i="3"/>
  <c r="U5" i="3" s="1"/>
  <c r="T26" i="3"/>
  <c r="U26" i="3" s="1"/>
  <c r="T27" i="3"/>
  <c r="U27" i="3" s="1"/>
  <c r="T29" i="3"/>
  <c r="U29" i="3" s="1"/>
  <c r="T43" i="3"/>
  <c r="U43" i="3" s="1"/>
  <c r="T45" i="3"/>
  <c r="U45" i="3" s="1"/>
  <c r="T7" i="3"/>
  <c r="U7" i="3" s="1"/>
  <c r="T9" i="3"/>
  <c r="U9" i="3" s="1"/>
  <c r="T11" i="3"/>
  <c r="U11" i="3" s="1"/>
  <c r="T12" i="3"/>
  <c r="U12" i="3" s="1"/>
  <c r="T31" i="3"/>
  <c r="U31" i="3" s="1"/>
  <c r="T32" i="3"/>
  <c r="U32" i="3" s="1"/>
  <c r="T33" i="3"/>
  <c r="U33" i="3" s="1"/>
  <c r="T47" i="3"/>
  <c r="U47" i="3" s="1"/>
  <c r="T49" i="3"/>
  <c r="U49" i="3" s="1"/>
  <c r="S13" i="3"/>
  <c r="T13" i="3" s="1"/>
  <c r="U13" i="3" s="1"/>
  <c r="S25" i="3"/>
  <c r="T25" i="3" s="1"/>
  <c r="U25" i="3" s="1"/>
  <c r="S8" i="3"/>
  <c r="T8" i="3" s="1"/>
  <c r="U8" i="3" s="1"/>
  <c r="S20" i="3"/>
  <c r="T20" i="3" s="1"/>
  <c r="U20" i="3" s="1"/>
  <c r="S24" i="3"/>
  <c r="T24" i="3" s="1"/>
  <c r="U24" i="3" s="1"/>
  <c r="S28" i="3"/>
  <c r="T28" i="3" s="1"/>
  <c r="U28" i="3" s="1"/>
  <c r="S44" i="3"/>
  <c r="T44" i="3" s="1"/>
  <c r="U44" i="3" s="1"/>
  <c r="S48" i="3"/>
  <c r="T48" i="3" s="1"/>
  <c r="U48" i="3" s="1"/>
  <c r="S56" i="3"/>
  <c r="T56" i="3" s="1"/>
  <c r="U56" i="3" s="1"/>
  <c r="S10" i="3"/>
  <c r="T10" i="3" s="1"/>
  <c r="U10" i="3" s="1"/>
  <c r="T7" i="2"/>
  <c r="U7" i="2" s="1"/>
  <c r="T8" i="2"/>
  <c r="U8" i="2" s="1"/>
  <c r="T11" i="2"/>
  <c r="U11" i="2" s="1"/>
  <c r="T13" i="2"/>
  <c r="U13" i="2" s="1"/>
  <c r="T27" i="2"/>
  <c r="U27" i="2" s="1"/>
  <c r="T29" i="2"/>
  <c r="U29" i="2" s="1"/>
  <c r="T39" i="2"/>
  <c r="U39" i="2" s="1"/>
  <c r="T40" i="2"/>
  <c r="U40" i="2" s="1"/>
  <c r="T56" i="2"/>
  <c r="U56" i="2" s="1"/>
  <c r="T57" i="2"/>
  <c r="U57" i="2" s="1"/>
  <c r="T15" i="2"/>
  <c r="U15" i="2" s="1"/>
  <c r="T16" i="2"/>
  <c r="U16" i="2" s="1"/>
  <c r="T17" i="2"/>
  <c r="U17" i="2" s="1"/>
  <c r="T31" i="2"/>
  <c r="U31" i="2" s="1"/>
  <c r="T43" i="2"/>
  <c r="U43" i="2" s="1"/>
  <c r="T46" i="2"/>
  <c r="U46" i="2" s="1"/>
  <c r="T47" i="2"/>
  <c r="U47" i="2" s="1"/>
  <c r="T48" i="2"/>
  <c r="U48" i="2" s="1"/>
  <c r="T3" i="2"/>
  <c r="U3" i="2" s="1"/>
  <c r="T19" i="2"/>
  <c r="U19" i="2" s="1"/>
  <c r="T33" i="2"/>
  <c r="U33" i="2" s="1"/>
  <c r="T51" i="2"/>
  <c r="U51" i="2" s="1"/>
  <c r="T52" i="2"/>
  <c r="U52" i="2" s="1"/>
  <c r="T53" i="2"/>
  <c r="U53" i="2" s="1"/>
  <c r="S9" i="2"/>
  <c r="T9" i="2" s="1"/>
  <c r="U9" i="2" s="1"/>
  <c r="S21" i="2"/>
  <c r="T21" i="2" s="1"/>
  <c r="U21" i="2" s="1"/>
  <c r="S25" i="2"/>
  <c r="T25" i="2" s="1"/>
  <c r="U25" i="2" s="1"/>
  <c r="S37" i="2"/>
  <c r="T37" i="2" s="1"/>
  <c r="U37" i="2" s="1"/>
  <c r="S45" i="2"/>
  <c r="T45" i="2" s="1"/>
  <c r="U45" i="2" s="1"/>
  <c r="S49" i="2"/>
  <c r="T49" i="2" s="1"/>
  <c r="U49" i="2" s="1"/>
  <c r="S10" i="2"/>
  <c r="T10" i="2" s="1"/>
  <c r="U10" i="2" s="1"/>
  <c r="S20" i="2"/>
  <c r="T20" i="2" s="1"/>
  <c r="U20" i="2" s="1"/>
  <c r="S44" i="2"/>
  <c r="T44" i="2" s="1"/>
  <c r="U44" i="2" s="1"/>
  <c r="S48" i="2"/>
</calcChain>
</file>

<file path=xl/sharedStrings.xml><?xml version="1.0" encoding="utf-8"?>
<sst xmlns="http://schemas.openxmlformats.org/spreadsheetml/2006/main" count="107" uniqueCount="34">
  <si>
    <t>Mes</t>
  </si>
  <si>
    <t>Kilometraje Bitacora</t>
  </si>
  <si>
    <t>Costo</t>
  </si>
  <si>
    <t>Litros de consumidos</t>
  </si>
  <si>
    <t>Litros de consumo termo</t>
  </si>
  <si>
    <t>Rendimiento tracto</t>
  </si>
  <si>
    <t>Horas Termo</t>
  </si>
  <si>
    <t>Rendimiento Termo</t>
  </si>
  <si>
    <t>Costoxkm</t>
  </si>
  <si>
    <t>Ingreso</t>
  </si>
  <si>
    <t>% combustible</t>
  </si>
  <si>
    <t>Unidades contratadas</t>
  </si>
  <si>
    <t>Unidades colocadas</t>
  </si>
  <si>
    <t>%NS</t>
  </si>
  <si>
    <t>Kilometros T Cliente</t>
  </si>
  <si>
    <t>Unidades contratadas por cliente</t>
  </si>
  <si>
    <t>Excedente de Unidades</t>
  </si>
  <si>
    <t>Total excedente x cliente</t>
  </si>
  <si>
    <t>km excedente</t>
  </si>
  <si>
    <t xml:space="preserve">Costo Excedente </t>
  </si>
  <si>
    <t>Agosto</t>
  </si>
  <si>
    <t>Julio</t>
  </si>
  <si>
    <t>Junio</t>
  </si>
  <si>
    <t>Septiembre</t>
  </si>
  <si>
    <t>Cliente</t>
  </si>
  <si>
    <t xml:space="preserve">Para el correcto funcionamiento del Dashboard proporcionado, favor de rellenar la siguiente plantilla acordemente. </t>
  </si>
  <si>
    <t>Solo las celdas naranjas deben ser editables</t>
  </si>
  <si>
    <t>Las celdas grises contienen fórmulas, y por ende, NO deben ser editadas</t>
  </si>
  <si>
    <t>Editable</t>
  </si>
  <si>
    <t>No editable</t>
  </si>
  <si>
    <t xml:space="preserve">INSTRUCCIONES GENERALES DE USO </t>
  </si>
  <si>
    <t xml:space="preserve">Favor de no cambiar el nombre de las pestañas. </t>
  </si>
  <si>
    <t>El dashboard leerá siempre la pestaña llamada "Plantilla"</t>
  </si>
  <si>
    <r>
      <t xml:space="preserve">Una vez rellenada la plantilla, guardar el archivo en formato </t>
    </r>
    <r>
      <rPr>
        <b/>
        <sz val="20"/>
        <color theme="1"/>
        <rFont val="Aptos Narrow"/>
        <family val="2"/>
        <scheme val="minor"/>
      </rPr>
      <t>.XSLX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</si>
</sst>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2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164" fontId="0" fillId="0" borderId="0" xfId="0" applyNumberFormat="1"/>
    <xf numFmtId="164" fontId="0" fillId="0" borderId="0" xfId="1" applyFont="1"/>
    <xf numFmtId="164" fontId="0" fillId="0" borderId="0" xfId="1" applyFont="1" applyFill="1" applyBorder="1"/>
    <xf numFmtId="0" fontId="2" fillId="0" borderId="0" xfId="0" applyFont="1"/>
    <xf numFmtId="164" fontId="1" fillId="0" borderId="0" xfId="1" applyFont="1" applyBorder="1"/>
    <xf numFmtId="164" fontId="0" fillId="0" borderId="0" xfId="1" applyFont="1" applyBorder="1"/>
    <xf numFmtId="10" fontId="0" fillId="0" borderId="0" xfId="2" applyNumberFormat="1" applyFont="1" applyBorder="1"/>
    <xf numFmtId="0" fontId="1" fillId="0" borderId="0" xfId="1" applyNumberFormat="1" applyFont="1" applyBorder="1"/>
    <xf numFmtId="0" fontId="1" fillId="0" borderId="0" xfId="0" applyFont="1"/>
    <xf numFmtId="0" fontId="3" fillId="0" borderId="0" xfId="0" applyFont="1" applyAlignment="1">
      <alignment readingOrder="1"/>
    </xf>
    <xf numFmtId="164" fontId="3" fillId="0" borderId="0" xfId="1" applyFont="1" applyBorder="1" applyAlignment="1">
      <alignment readingOrder="1"/>
    </xf>
    <xf numFmtId="164" fontId="2" fillId="0" borderId="0" xfId="1" applyFont="1" applyFill="1" applyBorder="1"/>
    <xf numFmtId="0" fontId="2" fillId="3" borderId="0" xfId="0" applyFont="1" applyFill="1"/>
    <xf numFmtId="164" fontId="2" fillId="3" borderId="0" xfId="1" applyFont="1" applyFill="1" applyBorder="1"/>
    <xf numFmtId="10" fontId="2" fillId="3" borderId="0" xfId="2" applyNumberFormat="1" applyFont="1" applyFill="1" applyBorder="1"/>
    <xf numFmtId="14" fontId="1" fillId="0" borderId="0" xfId="0" applyNumberFormat="1" applyFont="1"/>
    <xf numFmtId="164" fontId="1" fillId="0" borderId="0" xfId="1" applyFont="1" applyBorder="1" applyProtection="1"/>
    <xf numFmtId="0" fontId="2" fillId="3" borderId="0" xfId="0" applyFont="1" applyFill="1" applyProtection="1">
      <protection locked="0"/>
    </xf>
    <xf numFmtId="0" fontId="0" fillId="0" borderId="0" xfId="0" applyProtection="1">
      <protection locked="0"/>
    </xf>
    <xf numFmtId="164" fontId="1" fillId="0" borderId="0" xfId="1" applyFont="1" applyFill="1" applyBorder="1" applyProtection="1"/>
    <xf numFmtId="164" fontId="0" fillId="0" borderId="0" xfId="1" applyFont="1" applyBorder="1" applyProtection="1">
      <protection locked="0"/>
    </xf>
    <xf numFmtId="10" fontId="1" fillId="0" borderId="0" xfId="2" applyNumberFormat="1" applyFont="1" applyBorder="1" applyProtection="1"/>
    <xf numFmtId="164" fontId="0" fillId="0" borderId="0" xfId="1" applyFont="1" applyBorder="1" applyProtection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6" fillId="0" borderId="0" xfId="0" applyFont="1" applyAlignment="1">
      <alignment horizontal="left" wrapText="1"/>
    </xf>
    <xf numFmtId="0" fontId="7" fillId="3" borderId="1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numFmt numFmtId="164" formatCode="_(* #,##0.00_);_(* \(#,##0.00\);_(* &quot;-&quot;??_);_(@_)"/>
      <protection locked="1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numFmt numFmtId="164" formatCode="_(* #,##0.00_);_(* \(#,##0.00\);_(* &quot;-&quot;??_);_(@_)"/>
      <protection locked="1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6F80C3-7134-4A7C-9E4A-0EDB575CEBD1}" name="Tabla13" displayName="Tabla13" ref="A1:U57" totalsRowShown="0" headerRowDxfId="41">
  <autoFilter ref="A1:U57" xr:uid="{E44AFBEE-2E90-49F1-9E27-D70FE21FD0ED}"/>
  <tableColumns count="21">
    <tableColumn id="1" xr3:uid="{6CC22D4F-4F11-427F-9B74-FACAEAFB4F04}" name="Mes" dataDxfId="40"/>
    <tableColumn id="2" xr3:uid="{8B9E1FFA-0EE9-46AD-BC77-67F5F26A2972}" name="Cliente"/>
    <tableColumn id="3" xr3:uid="{B13F4BCB-FA7D-4044-8662-26CB25DB2D8D}" name="Kilometraje Bitacora" dataDxfId="39" dataCellStyle="Millares"/>
    <tableColumn id="4" xr3:uid="{2A26296D-352C-4311-8E5B-32E126322C60}" name="Costo" dataDxfId="38" dataCellStyle="Millares"/>
    <tableColumn id="5" xr3:uid="{8321F8A5-A4A3-4FB9-A44C-E91D6521A445}" name="Litros de consumidos" dataDxfId="37" dataCellStyle="Millares"/>
    <tableColumn id="6" xr3:uid="{7570A86C-B7E5-4CD5-98B8-E45DA417EDB1}" name="Litros de consumo termo" dataDxfId="36" dataCellStyle="Millares"/>
    <tableColumn id="7" xr3:uid="{7FC277CE-15DC-44D9-8C6E-1AB8EE302519}" name="Rendimiento tracto" dataDxfId="35" dataCellStyle="Millares">
      <calculatedColumnFormula>IFERROR(C2/E2,0)</calculatedColumnFormula>
    </tableColumn>
    <tableColumn id="8" xr3:uid="{5F883D28-09AB-4870-9355-496F5810B6EF}" name="Horas Termo" dataDxfId="34" dataCellStyle="Millares"/>
    <tableColumn id="9" xr3:uid="{03042A09-7EA0-4374-A8D2-3BF7866EAA80}" name="Rendimiento Termo" dataDxfId="33" dataCellStyle="Millares">
      <calculatedColumnFormula>IFERROR(F2/H2,0)</calculatedColumnFormula>
    </tableColumn>
    <tableColumn id="10" xr3:uid="{2CBA051F-7F11-4F55-8F28-8375C2A3EE2D}" name="Costoxkm" dataDxfId="32" dataCellStyle="Millares">
      <calculatedColumnFormula>IFERROR(D2/C2,0)</calculatedColumnFormula>
    </tableColumn>
    <tableColumn id="11" xr3:uid="{11F0E2F3-B7AA-41FF-8217-431BA0842653}" name="Ingreso" dataDxfId="31" dataCellStyle="Millares"/>
    <tableColumn id="12" xr3:uid="{7F0C0F2C-EE6C-4618-AD28-AF274ADB43EA}" name="% combustible" dataDxfId="30" dataCellStyle="Millares">
      <calculatedColumnFormula>IFERROR(D2/K2,0)</calculatedColumnFormula>
    </tableColumn>
    <tableColumn id="13" xr3:uid="{B201FC00-B633-4C4B-9D4E-A83DF6DEACA5}" name="Unidades contratadas" dataDxfId="29"/>
    <tableColumn id="14" xr3:uid="{D114A265-47A9-4A73-B58B-C3AA7BAB16E0}" name="Unidades colocadas" dataDxfId="28"/>
    <tableColumn id="15" xr3:uid="{BBA227CF-7009-4D91-B7C2-9588B3D0D4EF}" name="%NS" dataDxfId="27" dataCellStyle="Porcentaje">
      <calculatedColumnFormula>IFERROR(N2/M2,0)</calculatedColumnFormula>
    </tableColumn>
    <tableColumn id="16" xr3:uid="{4731627E-CC83-4A6B-AD39-08C93EEA074A}" name="Kilometros T Cliente" dataDxfId="26" dataCellStyle="Millares">
      <calculatedColumnFormula>SUMIFS(C:C,A:A,A2,B:B,B2)</calculatedColumnFormula>
    </tableColumn>
    <tableColumn id="17" xr3:uid="{0E67E3F5-8D9D-4497-B368-67727B78203A}" name="Unidades contratadas por cliente" dataDxfId="25" dataCellStyle="Millares">
      <calculatedColumnFormula>SUMIFS(M:M,A:A,A2,B:B,B2)</calculatedColumnFormula>
    </tableColumn>
    <tableColumn id="18" xr3:uid="{971E75D2-D920-4243-BB0F-5E1CA8385EA8}" name="Excedente de Unidades" dataDxfId="24">
      <calculatedColumnFormula>M2-N2</calculatedColumnFormula>
    </tableColumn>
    <tableColumn id="19" xr3:uid="{3942EACB-7BC6-47C5-889C-75F6F3DF6ADF}" name="Total excedente x cliente" dataDxfId="23">
      <calculatedColumnFormula>SUMIFS(R:R,A:A,A2,B:B,B2)</calculatedColumnFormula>
    </tableColumn>
    <tableColumn id="20" xr3:uid="{F9BC91F0-2875-4755-9BC4-A58E1EDFC9BB}" name="km excedente" dataDxfId="22">
      <calculatedColumnFormula>(P2/Q2)*S2</calculatedColumnFormula>
    </tableColumn>
    <tableColumn id="21" xr3:uid="{2D5DBAA0-EE1C-4365-991B-8A930CC2C9EB}" name="Costo Excedente " dataDxfId="21" dataCellStyle="Millares">
      <calculatedColumnFormula>T2*J2</calculatedColumnFormula>
    </tableColumn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AFBEE-2E90-49F1-9E27-D70FE21FD0ED}" name="Tabla1" displayName="Tabla1" ref="A1:U57" totalsRowShown="0" headerRowDxfId="20">
  <autoFilter ref="A1:U57" xr:uid="{E44AFBEE-2E90-49F1-9E27-D70FE21FD0ED}"/>
  <tableColumns count="21">
    <tableColumn id="1" xr3:uid="{84574D92-361F-4B84-9B9A-914D35F648B5}" name="Mes" dataDxfId="19"/>
    <tableColumn id="2" xr3:uid="{55CE0558-1AB5-44E0-BF4D-F6ACFC2138BC}" name="Cliente"/>
    <tableColumn id="3" xr3:uid="{4BE123E3-7966-446B-8FCC-E34BC1273C76}" name="Kilometraje Bitacora" dataDxfId="18" dataCellStyle="Millares"/>
    <tableColumn id="4" xr3:uid="{77574B15-DC81-4732-AD55-57121D940C2C}" name="Costo" dataDxfId="17" dataCellStyle="Millares"/>
    <tableColumn id="5" xr3:uid="{80EB5C82-5A21-4B24-B67F-23DC14AA54A8}" name="Litros de consumidos" dataDxfId="16" dataCellStyle="Millares"/>
    <tableColumn id="6" xr3:uid="{2816647D-1131-4A66-927A-DDC4CCB14C60}" name="Litros de consumo termo" dataDxfId="15" dataCellStyle="Millares"/>
    <tableColumn id="7" xr3:uid="{9157E5E2-1E14-415B-B2C7-370395EE3D6C}" name="Rendimiento tracto" dataDxfId="14" dataCellStyle="Millares">
      <calculatedColumnFormula>IFERROR(C2/E2,0)</calculatedColumnFormula>
    </tableColumn>
    <tableColumn id="8" xr3:uid="{7158805A-9C7F-4340-B399-EF055CDD81AB}" name="Horas Termo" dataDxfId="13" dataCellStyle="Millares"/>
    <tableColumn id="9" xr3:uid="{060E4E74-8614-4BCF-9585-067B656AE8CF}" name="Rendimiento Termo" dataDxfId="12" dataCellStyle="Millares">
      <calculatedColumnFormula>IFERROR(F2/H2,0)</calculatedColumnFormula>
    </tableColumn>
    <tableColumn id="10" xr3:uid="{61068240-2C87-4643-9D54-E270C085D551}" name="Costoxkm" dataDxfId="11" dataCellStyle="Millares">
      <calculatedColumnFormula>IFERROR(D2/C2,0)</calculatedColumnFormula>
    </tableColumn>
    <tableColumn id="11" xr3:uid="{113247CF-ABB7-4002-A798-D0A723ED6C6D}" name="Ingreso" dataDxfId="10" dataCellStyle="Millares"/>
    <tableColumn id="12" xr3:uid="{77777257-99A4-4A93-9A9F-3C5273F72152}" name="% combustible" dataDxfId="9" dataCellStyle="Millares">
      <calculatedColumnFormula>IFERROR(D2/K2,0)</calculatedColumnFormula>
    </tableColumn>
    <tableColumn id="13" xr3:uid="{D333299B-CBDE-4EA4-87EF-5538D7B5202A}" name="Unidades contratadas" dataDxfId="8"/>
    <tableColumn id="14" xr3:uid="{119406CF-4827-4B22-92F8-364E42F2674E}" name="Unidades colocadas" dataDxfId="7"/>
    <tableColumn id="15" xr3:uid="{6D8CED32-98F3-4D56-B85F-19EA95396A3A}" name="%NS" dataDxfId="6" dataCellStyle="Porcentaje">
      <calculatedColumnFormula>IFERROR(N2/M2,0)</calculatedColumnFormula>
    </tableColumn>
    <tableColumn id="16" xr3:uid="{B553D26D-F868-401E-A56A-B2B724DE2F84}" name="Kilometros T Cliente" dataDxfId="5" dataCellStyle="Millares">
      <calculatedColumnFormula>SUMIFS(C:C,A:A,A2,B:B,B2)</calculatedColumnFormula>
    </tableColumn>
    <tableColumn id="17" xr3:uid="{79F62E7E-2A02-4993-A386-5004AB9CF95D}" name="Unidades contratadas por cliente" dataDxfId="4" dataCellStyle="Millares">
      <calculatedColumnFormula>SUMIFS(M:M,A:A,A2,B:B,B2)</calculatedColumnFormula>
    </tableColumn>
    <tableColumn id="18" xr3:uid="{6E34790B-B88D-4F3C-A9B9-25138F3C8528}" name="Excedente de Unidades" dataDxfId="3">
      <calculatedColumnFormula>M2-N2</calculatedColumnFormula>
    </tableColumn>
    <tableColumn id="19" xr3:uid="{D137E0F3-35A9-470F-8A90-E9F1AB2932DC}" name="Total excedente x cliente" dataDxfId="2">
      <calculatedColumnFormula>SUMIFS(R:R,A:A,A2,B:B,B2)</calculatedColumnFormula>
    </tableColumn>
    <tableColumn id="20" xr3:uid="{5D3AD147-E91C-422B-8ACE-6E41F97CE521}" name="km excedente" dataDxfId="1">
      <calculatedColumnFormula>(P2/Q2)*S2</calculatedColumnFormula>
    </tableColumn>
    <tableColumn id="21" xr3:uid="{E17E0CD1-0607-4180-A4B6-3076D21C70A8}" name="Costo Excedente " dataDxfId="0" dataCellStyle="Millares">
      <calculatedColumnFormula>T2*J2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697F-47C6-472F-B0EB-C11B4545E76C}">
  <dimension ref="A3:F14"/>
  <sheetViews>
    <sheetView showGridLines="0" tabSelected="1" zoomScale="108" workbookViewId="0">
      <selection activeCell="C19" sqref="C19"/>
    </sheetView>
  </sheetViews>
  <sheetFormatPr baseColWidth="10" defaultRowHeight="15" x14ac:dyDescent="0.2"/>
  <cols>
    <col min="1" max="1" width="4.5" style="4" customWidth="1"/>
    <col min="2" max="2" width="48.83203125" customWidth="1"/>
    <col min="3" max="3" width="16.1640625" customWidth="1"/>
    <col min="4" max="4" width="3.6640625" customWidth="1"/>
    <col min="5" max="5" width="17.83203125" bestFit="1" customWidth="1"/>
  </cols>
  <sheetData>
    <row r="3" spans="1:6" ht="37" x14ac:dyDescent="0.45">
      <c r="B3" s="24" t="s">
        <v>30</v>
      </c>
    </row>
    <row r="5" spans="1:6" ht="27" x14ac:dyDescent="0.35">
      <c r="A5" s="25">
        <v>1</v>
      </c>
      <c r="B5" s="26" t="s">
        <v>25</v>
      </c>
      <c r="C5" s="26"/>
      <c r="D5" s="26"/>
      <c r="E5" s="26"/>
      <c r="F5" s="26"/>
    </row>
    <row r="6" spans="1:6" ht="21" customHeight="1" thickBot="1" x14ac:dyDescent="0.4">
      <c r="A6" s="25"/>
      <c r="B6" s="26"/>
      <c r="C6" s="26"/>
      <c r="D6" s="26"/>
      <c r="E6" s="26"/>
      <c r="F6" s="26"/>
    </row>
    <row r="7" spans="1:6" ht="31" customHeight="1" thickBot="1" x14ac:dyDescent="0.4">
      <c r="A7" s="25">
        <v>2</v>
      </c>
      <c r="B7" s="26" t="s">
        <v>26</v>
      </c>
      <c r="C7" s="26"/>
      <c r="E7" s="27" t="s">
        <v>28</v>
      </c>
      <c r="F7" s="26"/>
    </row>
    <row r="8" spans="1:6" ht="31" customHeight="1" thickBot="1" x14ac:dyDescent="0.4">
      <c r="A8" s="25">
        <v>3</v>
      </c>
      <c r="B8" s="28" t="s">
        <v>27</v>
      </c>
      <c r="C8" s="26"/>
      <c r="E8" s="29" t="s">
        <v>29</v>
      </c>
      <c r="F8" s="26"/>
    </row>
    <row r="9" spans="1:6" ht="27" x14ac:dyDescent="0.35">
      <c r="A9" s="25"/>
      <c r="B9" s="28"/>
      <c r="C9" s="26"/>
      <c r="D9" s="26"/>
      <c r="E9" s="26"/>
      <c r="F9" s="26"/>
    </row>
    <row r="10" spans="1:6" ht="27" x14ac:dyDescent="0.35">
      <c r="A10" s="25"/>
      <c r="B10" s="26"/>
      <c r="C10" s="26"/>
      <c r="D10" s="26"/>
      <c r="E10" s="26"/>
      <c r="F10" s="26"/>
    </row>
    <row r="11" spans="1:6" ht="27" x14ac:dyDescent="0.35">
      <c r="A11" s="25">
        <v>4</v>
      </c>
      <c r="B11" s="26" t="s">
        <v>33</v>
      </c>
      <c r="C11" s="26"/>
      <c r="D11" s="26"/>
      <c r="E11" s="26"/>
      <c r="F11" s="26"/>
    </row>
    <row r="12" spans="1:6" ht="27" x14ac:dyDescent="0.35">
      <c r="A12" s="25"/>
      <c r="B12" s="26"/>
      <c r="C12" s="26"/>
      <c r="D12" s="26"/>
      <c r="E12" s="26"/>
      <c r="F12" s="26"/>
    </row>
    <row r="13" spans="1:6" ht="27" x14ac:dyDescent="0.35">
      <c r="A13" s="25">
        <v>5</v>
      </c>
      <c r="B13" s="26" t="s">
        <v>31</v>
      </c>
      <c r="C13" s="26"/>
      <c r="D13" s="26"/>
      <c r="E13" s="26"/>
      <c r="F13" s="26"/>
    </row>
    <row r="14" spans="1:6" ht="27" x14ac:dyDescent="0.35">
      <c r="A14" s="25"/>
      <c r="B14" s="26" t="s">
        <v>32</v>
      </c>
      <c r="C14" s="26"/>
      <c r="D14" s="26"/>
      <c r="E14" s="26"/>
      <c r="F14" s="26"/>
    </row>
  </sheetData>
  <mergeCells count="1">
    <mergeCell ref="B8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2BBF-06EE-47A5-9EF0-D49EFFF3D801}">
  <sheetPr>
    <tabColor rgb="FFFFFF00"/>
  </sheetPr>
  <dimension ref="A1:Y57"/>
  <sheetViews>
    <sheetView showGridLines="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A8" sqref="A8"/>
    </sheetView>
  </sheetViews>
  <sheetFormatPr baseColWidth="10" defaultColWidth="11.5" defaultRowHeight="15" x14ac:dyDescent="0.2"/>
  <cols>
    <col min="1" max="1" width="6.1640625" customWidth="1"/>
    <col min="2" max="2" width="9.33203125" customWidth="1"/>
    <col min="3" max="3" width="21.33203125" style="6" customWidth="1"/>
    <col min="4" max="4" width="16.33203125" style="6" customWidth="1"/>
    <col min="5" max="5" width="21.83203125" style="6" customWidth="1"/>
    <col min="6" max="6" width="24.5" style="6" customWidth="1"/>
    <col min="7" max="7" width="18.83203125" style="19" customWidth="1"/>
    <col min="8" max="8" width="14.6640625" customWidth="1"/>
    <col min="9" max="9" width="20.5" customWidth="1"/>
    <col min="11" max="11" width="13.6640625" style="6" bestFit="1" customWidth="1"/>
    <col min="12" max="12" width="15.33203125" customWidth="1"/>
    <col min="13" max="13" width="21.1640625" customWidth="1"/>
    <col min="14" max="14" width="19.6640625" customWidth="1"/>
    <col min="15" max="15" width="11.5" style="7"/>
    <col min="16" max="16" width="20.83203125" style="6" customWidth="1"/>
    <col min="17" max="17" width="30.33203125" style="7" customWidth="1"/>
    <col min="18" max="18" width="22.1640625" customWidth="1"/>
    <col min="19" max="19" width="23.33203125" customWidth="1"/>
    <col min="20" max="20" width="14.5" customWidth="1"/>
    <col min="21" max="21" width="17" customWidth="1"/>
    <col min="23" max="23" width="14" bestFit="1" customWidth="1"/>
    <col min="24" max="24" width="15" bestFit="1" customWidth="1"/>
    <col min="25" max="25" width="13.83203125" bestFit="1" customWidth="1"/>
  </cols>
  <sheetData>
    <row r="1" spans="1:25" s="4" customFormat="1" x14ac:dyDescent="0.2">
      <c r="A1" s="4" t="s">
        <v>0</v>
      </c>
      <c r="B1" s="4" t="s">
        <v>24</v>
      </c>
      <c r="C1" s="12" t="s">
        <v>1</v>
      </c>
      <c r="D1" s="12" t="s">
        <v>2</v>
      </c>
      <c r="E1" s="12" t="s">
        <v>3</v>
      </c>
      <c r="F1" s="12" t="s">
        <v>4</v>
      </c>
      <c r="G1" s="18" t="s">
        <v>5</v>
      </c>
      <c r="H1" s="12" t="s">
        <v>6</v>
      </c>
      <c r="I1" s="14" t="s">
        <v>7</v>
      </c>
      <c r="J1" s="13" t="s">
        <v>8</v>
      </c>
      <c r="K1" s="12" t="s">
        <v>9</v>
      </c>
      <c r="L1" s="13" t="s">
        <v>10</v>
      </c>
      <c r="M1" s="4" t="s">
        <v>11</v>
      </c>
      <c r="N1" s="4" t="s">
        <v>12</v>
      </c>
      <c r="O1" s="15" t="s">
        <v>13</v>
      </c>
      <c r="P1" s="14" t="s">
        <v>14</v>
      </c>
      <c r="Q1" s="15" t="s">
        <v>15</v>
      </c>
      <c r="R1" s="13" t="s">
        <v>16</v>
      </c>
      <c r="S1" s="13" t="s">
        <v>17</v>
      </c>
      <c r="T1" s="13" t="s">
        <v>18</v>
      </c>
      <c r="U1" s="13" t="s">
        <v>19</v>
      </c>
    </row>
    <row r="2" spans="1:25" x14ac:dyDescent="0.2">
      <c r="A2" s="16"/>
      <c r="C2" s="5"/>
      <c r="D2" s="5"/>
      <c r="E2" s="5"/>
      <c r="F2" s="5"/>
      <c r="G2" s="17">
        <f>IFERROR(C2/E2,0)</f>
        <v>0</v>
      </c>
      <c r="H2" s="5"/>
      <c r="I2" s="17">
        <f>IFERROR(F2/H2,0)</f>
        <v>0</v>
      </c>
      <c r="J2" s="17">
        <f>IFERROR(D2/C2,0)</f>
        <v>0</v>
      </c>
      <c r="K2" s="5"/>
      <c r="L2" s="17">
        <f>IFERROR(D2/K2,0)</f>
        <v>0</v>
      </c>
      <c r="M2" s="8"/>
      <c r="N2" s="8"/>
      <c r="O2" s="22">
        <f>IFERROR(N2/M2,0)</f>
        <v>0</v>
      </c>
      <c r="P2" s="17">
        <f t="shared" ref="P2:P57" si="0">SUMIFS(C:C,A:A,A2,B:B,B2)</f>
        <v>0</v>
      </c>
      <c r="Q2" s="17">
        <f t="shared" ref="Q2:Q57" si="1">SUMIFS(M:M,A:A,A2,B:B,B2)</f>
        <v>0</v>
      </c>
      <c r="R2">
        <f t="shared" ref="R2:R57" si="2">M2-N2</f>
        <v>0</v>
      </c>
      <c r="S2">
        <f t="shared" ref="S2:S57" si="3">SUMIFS(R:R,A:A,A2,B:B,B2)</f>
        <v>0</v>
      </c>
      <c r="T2" s="1" t="e">
        <f t="shared" ref="T2:T57" si="4">(P2/Q2)*S2</f>
        <v>#DIV/0!</v>
      </c>
      <c r="U2" s="23" t="e">
        <f t="shared" ref="U2:U57" si="5">T2*J2</f>
        <v>#DIV/0!</v>
      </c>
      <c r="W2" s="2"/>
      <c r="X2" s="1"/>
    </row>
    <row r="3" spans="1:25" x14ac:dyDescent="0.2">
      <c r="A3" s="9"/>
      <c r="C3" s="5"/>
      <c r="D3" s="5"/>
      <c r="E3" s="5"/>
      <c r="F3" s="5"/>
      <c r="G3" s="17">
        <f t="shared" ref="G3:G57" si="6">IFERROR(C3/E3,0)</f>
        <v>0</v>
      </c>
      <c r="H3" s="5"/>
      <c r="I3" s="17">
        <f t="shared" ref="I3:I57" si="7">IFERROR(F3/H3,0)</f>
        <v>0</v>
      </c>
      <c r="J3" s="17">
        <f t="shared" ref="J3:J57" si="8">IFERROR(D3/C3,0)</f>
        <v>0</v>
      </c>
      <c r="K3" s="5"/>
      <c r="L3" s="17">
        <f t="shared" ref="L3:L57" si="9">IFERROR(D3/K3,0)</f>
        <v>0</v>
      </c>
      <c r="M3" s="9"/>
      <c r="N3" s="9"/>
      <c r="O3" s="22">
        <f t="shared" ref="O3:O57" si="10">IFERROR(N3/M3,0)</f>
        <v>0</v>
      </c>
      <c r="P3" s="17">
        <f t="shared" si="0"/>
        <v>0</v>
      </c>
      <c r="Q3" s="17">
        <f t="shared" si="1"/>
        <v>0</v>
      </c>
      <c r="R3">
        <f t="shared" si="2"/>
        <v>0</v>
      </c>
      <c r="S3">
        <f t="shared" si="3"/>
        <v>0</v>
      </c>
      <c r="T3" s="1" t="e">
        <f t="shared" si="4"/>
        <v>#DIV/0!</v>
      </c>
      <c r="U3" s="23" t="e">
        <f t="shared" si="5"/>
        <v>#DIV/0!</v>
      </c>
      <c r="X3" s="1"/>
      <c r="Y3" s="1"/>
    </row>
    <row r="4" spans="1:25" x14ac:dyDescent="0.2">
      <c r="A4" s="9"/>
      <c r="C4" s="5"/>
      <c r="D4" s="5"/>
      <c r="E4" s="5"/>
      <c r="F4" s="5"/>
      <c r="G4" s="17">
        <f t="shared" si="6"/>
        <v>0</v>
      </c>
      <c r="H4" s="5"/>
      <c r="I4" s="17">
        <f t="shared" si="7"/>
        <v>0</v>
      </c>
      <c r="J4" s="17">
        <f t="shared" si="8"/>
        <v>0</v>
      </c>
      <c r="L4" s="17">
        <f t="shared" si="9"/>
        <v>0</v>
      </c>
      <c r="M4" s="9"/>
      <c r="N4" s="9"/>
      <c r="O4" s="22">
        <f t="shared" si="10"/>
        <v>0</v>
      </c>
      <c r="P4" s="17">
        <f t="shared" si="0"/>
        <v>0</v>
      </c>
      <c r="Q4" s="17">
        <f t="shared" si="1"/>
        <v>0</v>
      </c>
      <c r="R4">
        <f t="shared" si="2"/>
        <v>0</v>
      </c>
      <c r="S4">
        <f t="shared" si="3"/>
        <v>0</v>
      </c>
      <c r="T4" s="1" t="e">
        <f t="shared" si="4"/>
        <v>#DIV/0!</v>
      </c>
      <c r="U4" s="23" t="e">
        <f t="shared" si="5"/>
        <v>#DIV/0!</v>
      </c>
    </row>
    <row r="5" spans="1:25" x14ac:dyDescent="0.2">
      <c r="A5" s="9"/>
      <c r="C5" s="5"/>
      <c r="D5" s="5"/>
      <c r="E5" s="5"/>
      <c r="F5" s="5"/>
      <c r="G5" s="17">
        <f t="shared" si="6"/>
        <v>0</v>
      </c>
      <c r="H5" s="5"/>
      <c r="I5" s="17">
        <f t="shared" si="7"/>
        <v>0</v>
      </c>
      <c r="J5" s="17">
        <f t="shared" si="8"/>
        <v>0</v>
      </c>
      <c r="K5" s="5"/>
      <c r="L5" s="17">
        <f t="shared" si="9"/>
        <v>0</v>
      </c>
      <c r="M5" s="8"/>
      <c r="N5" s="8"/>
      <c r="O5" s="22">
        <f t="shared" si="10"/>
        <v>0</v>
      </c>
      <c r="P5" s="17">
        <f t="shared" si="0"/>
        <v>0</v>
      </c>
      <c r="Q5" s="17">
        <f t="shared" si="1"/>
        <v>0</v>
      </c>
      <c r="R5">
        <f t="shared" si="2"/>
        <v>0</v>
      </c>
      <c r="S5">
        <f t="shared" si="3"/>
        <v>0</v>
      </c>
      <c r="T5" s="1" t="e">
        <f t="shared" si="4"/>
        <v>#DIV/0!</v>
      </c>
      <c r="U5" s="23" t="e">
        <f t="shared" si="5"/>
        <v>#DIV/0!</v>
      </c>
    </row>
    <row r="6" spans="1:25" x14ac:dyDescent="0.2">
      <c r="A6" s="9"/>
      <c r="C6" s="5"/>
      <c r="D6" s="5"/>
      <c r="E6" s="5"/>
      <c r="G6" s="17">
        <f t="shared" si="6"/>
        <v>0</v>
      </c>
      <c r="H6" s="5"/>
      <c r="I6" s="17">
        <f t="shared" si="7"/>
        <v>0</v>
      </c>
      <c r="J6" s="17">
        <f t="shared" si="8"/>
        <v>0</v>
      </c>
      <c r="K6" s="5"/>
      <c r="L6" s="17">
        <f t="shared" si="9"/>
        <v>0</v>
      </c>
      <c r="M6" s="9"/>
      <c r="N6" s="9"/>
      <c r="O6" s="22">
        <f t="shared" si="10"/>
        <v>0</v>
      </c>
      <c r="P6" s="17">
        <f t="shared" si="0"/>
        <v>0</v>
      </c>
      <c r="Q6" s="17">
        <f t="shared" si="1"/>
        <v>0</v>
      </c>
      <c r="R6">
        <f t="shared" si="2"/>
        <v>0</v>
      </c>
      <c r="S6">
        <f t="shared" si="3"/>
        <v>0</v>
      </c>
      <c r="T6" s="1" t="e">
        <f t="shared" si="4"/>
        <v>#DIV/0!</v>
      </c>
      <c r="U6" s="23" t="e">
        <f t="shared" si="5"/>
        <v>#DIV/0!</v>
      </c>
    </row>
    <row r="7" spans="1:25" x14ac:dyDescent="0.2">
      <c r="A7" s="9"/>
      <c r="C7" s="5"/>
      <c r="D7" s="5"/>
      <c r="E7" s="5"/>
      <c r="F7" s="21"/>
      <c r="G7" s="17">
        <f t="shared" si="6"/>
        <v>0</v>
      </c>
      <c r="H7" s="5"/>
      <c r="I7" s="17">
        <f t="shared" si="7"/>
        <v>0</v>
      </c>
      <c r="J7" s="17">
        <f t="shared" si="8"/>
        <v>0</v>
      </c>
      <c r="K7" s="5"/>
      <c r="L7" s="17">
        <f t="shared" si="9"/>
        <v>0</v>
      </c>
      <c r="M7" s="9"/>
      <c r="N7" s="9"/>
      <c r="O7" s="22">
        <f t="shared" si="10"/>
        <v>0</v>
      </c>
      <c r="P7" s="17">
        <f t="shared" si="0"/>
        <v>0</v>
      </c>
      <c r="Q7" s="17">
        <f t="shared" si="1"/>
        <v>0</v>
      </c>
      <c r="R7">
        <f t="shared" si="2"/>
        <v>0</v>
      </c>
      <c r="S7">
        <f t="shared" si="3"/>
        <v>0</v>
      </c>
      <c r="T7" s="1" t="e">
        <f t="shared" si="4"/>
        <v>#DIV/0!</v>
      </c>
      <c r="U7" s="23" t="e">
        <f t="shared" si="5"/>
        <v>#DIV/0!</v>
      </c>
    </row>
    <row r="8" spans="1:25" x14ac:dyDescent="0.2">
      <c r="A8" s="9"/>
      <c r="C8" s="5"/>
      <c r="D8" s="5"/>
      <c r="E8" s="5"/>
      <c r="G8" s="17">
        <f t="shared" si="6"/>
        <v>0</v>
      </c>
      <c r="H8" s="5"/>
      <c r="I8" s="17">
        <f t="shared" si="7"/>
        <v>0</v>
      </c>
      <c r="J8" s="17">
        <f t="shared" si="8"/>
        <v>0</v>
      </c>
      <c r="K8" s="5"/>
      <c r="L8" s="17">
        <f t="shared" si="9"/>
        <v>0</v>
      </c>
      <c r="M8" s="9"/>
      <c r="N8" s="9"/>
      <c r="O8" s="22">
        <f t="shared" si="10"/>
        <v>0</v>
      </c>
      <c r="P8" s="17">
        <f t="shared" si="0"/>
        <v>0</v>
      </c>
      <c r="Q8" s="17">
        <f t="shared" si="1"/>
        <v>0</v>
      </c>
      <c r="R8">
        <f t="shared" si="2"/>
        <v>0</v>
      </c>
      <c r="S8">
        <f t="shared" si="3"/>
        <v>0</v>
      </c>
      <c r="T8" s="1" t="e">
        <f t="shared" si="4"/>
        <v>#DIV/0!</v>
      </c>
      <c r="U8" s="23" t="e">
        <f t="shared" si="5"/>
        <v>#DIV/0!</v>
      </c>
    </row>
    <row r="9" spans="1:25" x14ac:dyDescent="0.2">
      <c r="A9" s="9"/>
      <c r="C9" s="5"/>
      <c r="D9" s="5"/>
      <c r="E9" s="5"/>
      <c r="G9" s="17">
        <f t="shared" si="6"/>
        <v>0</v>
      </c>
      <c r="H9" s="5"/>
      <c r="I9" s="17">
        <f t="shared" si="7"/>
        <v>0</v>
      </c>
      <c r="J9" s="17">
        <f t="shared" si="8"/>
        <v>0</v>
      </c>
      <c r="L9" s="17">
        <f t="shared" si="9"/>
        <v>0</v>
      </c>
      <c r="M9" s="9"/>
      <c r="N9" s="9"/>
      <c r="O9" s="22">
        <f t="shared" si="10"/>
        <v>0</v>
      </c>
      <c r="P9" s="17">
        <f t="shared" si="0"/>
        <v>0</v>
      </c>
      <c r="Q9" s="17">
        <f t="shared" si="1"/>
        <v>0</v>
      </c>
      <c r="R9">
        <f t="shared" si="2"/>
        <v>0</v>
      </c>
      <c r="S9">
        <f t="shared" si="3"/>
        <v>0</v>
      </c>
      <c r="T9" s="1" t="e">
        <f t="shared" si="4"/>
        <v>#DIV/0!</v>
      </c>
      <c r="U9" s="23" t="e">
        <f t="shared" si="5"/>
        <v>#DIV/0!</v>
      </c>
    </row>
    <row r="10" spans="1:25" x14ac:dyDescent="0.2">
      <c r="A10" s="9"/>
      <c r="C10" s="5"/>
      <c r="D10" s="5"/>
      <c r="E10" s="5"/>
      <c r="F10" s="5"/>
      <c r="G10" s="17">
        <f t="shared" si="6"/>
        <v>0</v>
      </c>
      <c r="H10" s="9"/>
      <c r="I10" s="17">
        <f t="shared" si="7"/>
        <v>0</v>
      </c>
      <c r="J10" s="17">
        <f t="shared" si="8"/>
        <v>0</v>
      </c>
      <c r="K10" s="5"/>
      <c r="L10" s="17">
        <f t="shared" si="9"/>
        <v>0</v>
      </c>
      <c r="M10" s="9"/>
      <c r="N10" s="9"/>
      <c r="O10" s="22">
        <f t="shared" si="10"/>
        <v>0</v>
      </c>
      <c r="P10" s="17">
        <f t="shared" si="0"/>
        <v>0</v>
      </c>
      <c r="Q10" s="17">
        <f t="shared" si="1"/>
        <v>0</v>
      </c>
      <c r="R10">
        <f t="shared" si="2"/>
        <v>0</v>
      </c>
      <c r="S10">
        <f t="shared" si="3"/>
        <v>0</v>
      </c>
      <c r="T10" s="1" t="e">
        <f t="shared" si="4"/>
        <v>#DIV/0!</v>
      </c>
      <c r="U10" s="23" t="e">
        <f t="shared" si="5"/>
        <v>#DIV/0!</v>
      </c>
    </row>
    <row r="11" spans="1:25" x14ac:dyDescent="0.2">
      <c r="A11" s="9"/>
      <c r="G11" s="17">
        <f t="shared" si="6"/>
        <v>0</v>
      </c>
      <c r="H11" s="6"/>
      <c r="I11" s="17">
        <f t="shared" si="7"/>
        <v>0</v>
      </c>
      <c r="J11" s="17">
        <f t="shared" si="8"/>
        <v>0</v>
      </c>
      <c r="L11" s="17">
        <f t="shared" si="9"/>
        <v>0</v>
      </c>
      <c r="M11" s="9"/>
      <c r="N11" s="9"/>
      <c r="O11" s="22">
        <f t="shared" si="10"/>
        <v>0</v>
      </c>
      <c r="P11" s="17">
        <f t="shared" si="0"/>
        <v>0</v>
      </c>
      <c r="Q11" s="17">
        <f t="shared" si="1"/>
        <v>0</v>
      </c>
      <c r="R11">
        <f t="shared" si="2"/>
        <v>0</v>
      </c>
      <c r="S11">
        <f t="shared" si="3"/>
        <v>0</v>
      </c>
      <c r="T11" s="1" t="e">
        <f t="shared" si="4"/>
        <v>#DIV/0!</v>
      </c>
      <c r="U11" s="23" t="e">
        <f t="shared" si="5"/>
        <v>#DIV/0!</v>
      </c>
    </row>
    <row r="12" spans="1:25" x14ac:dyDescent="0.2">
      <c r="A12" s="9"/>
      <c r="C12" s="5"/>
      <c r="D12" s="5"/>
      <c r="E12" s="5"/>
      <c r="G12" s="17">
        <f t="shared" si="6"/>
        <v>0</v>
      </c>
      <c r="H12" s="6"/>
      <c r="I12" s="17">
        <f t="shared" si="7"/>
        <v>0</v>
      </c>
      <c r="J12" s="17">
        <f t="shared" si="8"/>
        <v>0</v>
      </c>
      <c r="L12" s="17">
        <f t="shared" si="9"/>
        <v>0</v>
      </c>
      <c r="M12" s="9"/>
      <c r="N12" s="9"/>
      <c r="O12" s="22">
        <f t="shared" si="10"/>
        <v>0</v>
      </c>
      <c r="P12" s="17">
        <f t="shared" si="0"/>
        <v>0</v>
      </c>
      <c r="Q12" s="17">
        <f t="shared" si="1"/>
        <v>0</v>
      </c>
      <c r="R12">
        <f t="shared" si="2"/>
        <v>0</v>
      </c>
      <c r="S12">
        <f t="shared" si="3"/>
        <v>0</v>
      </c>
      <c r="T12" s="1" t="e">
        <f t="shared" si="4"/>
        <v>#DIV/0!</v>
      </c>
      <c r="U12" s="23" t="e">
        <f t="shared" si="5"/>
        <v>#DIV/0!</v>
      </c>
    </row>
    <row r="13" spans="1:25" x14ac:dyDescent="0.2">
      <c r="A13" s="9"/>
      <c r="C13" s="5"/>
      <c r="D13" s="5"/>
      <c r="E13" s="5"/>
      <c r="G13" s="17">
        <f t="shared" si="6"/>
        <v>0</v>
      </c>
      <c r="H13" s="6"/>
      <c r="I13" s="17">
        <f t="shared" si="7"/>
        <v>0</v>
      </c>
      <c r="J13" s="17">
        <f t="shared" si="8"/>
        <v>0</v>
      </c>
      <c r="L13" s="17">
        <f t="shared" si="9"/>
        <v>0</v>
      </c>
      <c r="M13" s="9"/>
      <c r="N13" s="9"/>
      <c r="O13" s="22">
        <f t="shared" si="10"/>
        <v>0</v>
      </c>
      <c r="P13" s="17">
        <f t="shared" si="0"/>
        <v>0</v>
      </c>
      <c r="Q13" s="17">
        <f t="shared" si="1"/>
        <v>0</v>
      </c>
      <c r="R13">
        <f t="shared" si="2"/>
        <v>0</v>
      </c>
      <c r="S13">
        <f t="shared" si="3"/>
        <v>0</v>
      </c>
      <c r="T13" s="1" t="e">
        <f t="shared" si="4"/>
        <v>#DIV/0!</v>
      </c>
      <c r="U13" s="23" t="e">
        <f t="shared" si="5"/>
        <v>#DIV/0!</v>
      </c>
    </row>
    <row r="14" spans="1:25" x14ac:dyDescent="0.2">
      <c r="A14" s="9"/>
      <c r="C14" s="5"/>
      <c r="D14" s="5"/>
      <c r="E14" s="5"/>
      <c r="G14" s="17">
        <f t="shared" si="6"/>
        <v>0</v>
      </c>
      <c r="H14" s="6"/>
      <c r="I14" s="17">
        <f t="shared" si="7"/>
        <v>0</v>
      </c>
      <c r="J14" s="17">
        <f t="shared" si="8"/>
        <v>0</v>
      </c>
      <c r="L14" s="17">
        <f t="shared" si="9"/>
        <v>0</v>
      </c>
      <c r="M14" s="9"/>
      <c r="N14" s="9"/>
      <c r="O14" s="22">
        <f t="shared" si="10"/>
        <v>0</v>
      </c>
      <c r="P14" s="17">
        <f t="shared" si="0"/>
        <v>0</v>
      </c>
      <c r="Q14" s="17">
        <f t="shared" si="1"/>
        <v>0</v>
      </c>
      <c r="R14">
        <f t="shared" si="2"/>
        <v>0</v>
      </c>
      <c r="S14">
        <f t="shared" si="3"/>
        <v>0</v>
      </c>
      <c r="T14" s="1" t="e">
        <f t="shared" si="4"/>
        <v>#DIV/0!</v>
      </c>
      <c r="U14" s="23" t="e">
        <f t="shared" si="5"/>
        <v>#DIV/0!</v>
      </c>
    </row>
    <row r="15" spans="1:25" x14ac:dyDescent="0.2">
      <c r="A15" s="9"/>
      <c r="C15" s="5"/>
      <c r="D15" s="5"/>
      <c r="E15" s="5"/>
      <c r="F15" s="5"/>
      <c r="G15" s="17">
        <f t="shared" si="6"/>
        <v>0</v>
      </c>
      <c r="H15" s="6"/>
      <c r="I15" s="17">
        <f t="shared" si="7"/>
        <v>0</v>
      </c>
      <c r="J15" s="17">
        <f t="shared" si="8"/>
        <v>0</v>
      </c>
      <c r="L15" s="17">
        <f t="shared" si="9"/>
        <v>0</v>
      </c>
      <c r="M15" s="9"/>
      <c r="N15" s="9"/>
      <c r="O15" s="22">
        <f t="shared" si="10"/>
        <v>0</v>
      </c>
      <c r="P15" s="17">
        <f t="shared" si="0"/>
        <v>0</v>
      </c>
      <c r="Q15" s="17">
        <f t="shared" si="1"/>
        <v>0</v>
      </c>
      <c r="R15">
        <f t="shared" si="2"/>
        <v>0</v>
      </c>
      <c r="S15">
        <f t="shared" si="3"/>
        <v>0</v>
      </c>
      <c r="T15" s="1" t="e">
        <f t="shared" si="4"/>
        <v>#DIV/0!</v>
      </c>
      <c r="U15" s="23" t="e">
        <f t="shared" si="5"/>
        <v>#DIV/0!</v>
      </c>
    </row>
    <row r="16" spans="1:25" x14ac:dyDescent="0.2">
      <c r="A16" s="9"/>
      <c r="C16" s="11"/>
      <c r="D16" s="11"/>
      <c r="E16" s="11"/>
      <c r="G16" s="17">
        <f t="shared" si="6"/>
        <v>0</v>
      </c>
      <c r="H16" s="6"/>
      <c r="I16" s="17">
        <f t="shared" si="7"/>
        <v>0</v>
      </c>
      <c r="J16" s="17">
        <f t="shared" si="8"/>
        <v>0</v>
      </c>
      <c r="L16" s="17">
        <f t="shared" si="9"/>
        <v>0</v>
      </c>
      <c r="M16" s="10"/>
      <c r="N16" s="10"/>
      <c r="O16" s="22">
        <f t="shared" si="10"/>
        <v>0</v>
      </c>
      <c r="P16" s="17">
        <f t="shared" si="0"/>
        <v>0</v>
      </c>
      <c r="Q16" s="17">
        <f t="shared" si="1"/>
        <v>0</v>
      </c>
      <c r="R16">
        <f t="shared" si="2"/>
        <v>0</v>
      </c>
      <c r="S16">
        <f t="shared" si="3"/>
        <v>0</v>
      </c>
      <c r="T16" s="1" t="e">
        <f t="shared" si="4"/>
        <v>#DIV/0!</v>
      </c>
      <c r="U16" s="23" t="e">
        <f t="shared" si="5"/>
        <v>#DIV/0!</v>
      </c>
    </row>
    <row r="17" spans="1:21" x14ac:dyDescent="0.2">
      <c r="A17" s="9"/>
      <c r="C17" s="11"/>
      <c r="D17" s="11"/>
      <c r="E17" s="11"/>
      <c r="G17" s="17">
        <f t="shared" si="6"/>
        <v>0</v>
      </c>
      <c r="H17" s="6"/>
      <c r="I17" s="17">
        <f t="shared" si="7"/>
        <v>0</v>
      </c>
      <c r="J17" s="17">
        <f t="shared" si="8"/>
        <v>0</v>
      </c>
      <c r="L17" s="17">
        <f t="shared" si="9"/>
        <v>0</v>
      </c>
      <c r="M17" s="10"/>
      <c r="N17" s="10"/>
      <c r="O17" s="22">
        <f t="shared" si="10"/>
        <v>0</v>
      </c>
      <c r="P17" s="17">
        <f t="shared" si="0"/>
        <v>0</v>
      </c>
      <c r="Q17" s="17">
        <f t="shared" si="1"/>
        <v>0</v>
      </c>
      <c r="R17">
        <f t="shared" si="2"/>
        <v>0</v>
      </c>
      <c r="S17">
        <f t="shared" si="3"/>
        <v>0</v>
      </c>
      <c r="T17" s="1" t="e">
        <f t="shared" si="4"/>
        <v>#DIV/0!</v>
      </c>
      <c r="U17" s="23" t="e">
        <f t="shared" si="5"/>
        <v>#DIV/0!</v>
      </c>
    </row>
    <row r="18" spans="1:21" x14ac:dyDescent="0.2">
      <c r="A18" s="9"/>
      <c r="C18" s="11"/>
      <c r="D18" s="11"/>
      <c r="E18" s="11"/>
      <c r="G18" s="17">
        <f t="shared" si="6"/>
        <v>0</v>
      </c>
      <c r="H18" s="6"/>
      <c r="I18" s="17">
        <f t="shared" si="7"/>
        <v>0</v>
      </c>
      <c r="J18" s="17">
        <f t="shared" si="8"/>
        <v>0</v>
      </c>
      <c r="L18" s="17">
        <f t="shared" si="9"/>
        <v>0</v>
      </c>
      <c r="M18" s="10"/>
      <c r="N18" s="10"/>
      <c r="O18" s="22">
        <f t="shared" si="10"/>
        <v>0</v>
      </c>
      <c r="P18" s="17">
        <f t="shared" si="0"/>
        <v>0</v>
      </c>
      <c r="Q18" s="17">
        <f t="shared" si="1"/>
        <v>0</v>
      </c>
      <c r="R18">
        <f t="shared" si="2"/>
        <v>0</v>
      </c>
      <c r="S18">
        <f t="shared" si="3"/>
        <v>0</v>
      </c>
      <c r="T18" s="1" t="e">
        <f t="shared" si="4"/>
        <v>#DIV/0!</v>
      </c>
      <c r="U18" s="23" t="e">
        <f t="shared" si="5"/>
        <v>#DIV/0!</v>
      </c>
    </row>
    <row r="19" spans="1:21" x14ac:dyDescent="0.2">
      <c r="A19" s="9"/>
      <c r="C19" s="11"/>
      <c r="D19" s="11"/>
      <c r="E19" s="11"/>
      <c r="G19" s="17">
        <f t="shared" si="6"/>
        <v>0</v>
      </c>
      <c r="H19" s="6"/>
      <c r="I19" s="17">
        <f t="shared" si="7"/>
        <v>0</v>
      </c>
      <c r="J19" s="17">
        <f t="shared" si="8"/>
        <v>0</v>
      </c>
      <c r="L19" s="17">
        <f t="shared" si="9"/>
        <v>0</v>
      </c>
      <c r="M19" s="10"/>
      <c r="N19" s="10"/>
      <c r="O19" s="22">
        <f t="shared" si="10"/>
        <v>0</v>
      </c>
      <c r="P19" s="17">
        <f t="shared" si="0"/>
        <v>0</v>
      </c>
      <c r="Q19" s="17">
        <f t="shared" si="1"/>
        <v>0</v>
      </c>
      <c r="R19">
        <f t="shared" si="2"/>
        <v>0</v>
      </c>
      <c r="S19">
        <f t="shared" si="3"/>
        <v>0</v>
      </c>
      <c r="T19" s="1" t="e">
        <f t="shared" si="4"/>
        <v>#DIV/0!</v>
      </c>
      <c r="U19" s="23" t="e">
        <f t="shared" si="5"/>
        <v>#DIV/0!</v>
      </c>
    </row>
    <row r="20" spans="1:21" x14ac:dyDescent="0.2">
      <c r="A20" s="9"/>
      <c r="C20" s="11"/>
      <c r="D20" s="11"/>
      <c r="E20" s="11"/>
      <c r="G20" s="17">
        <f t="shared" si="6"/>
        <v>0</v>
      </c>
      <c r="H20" s="6"/>
      <c r="I20" s="17">
        <f t="shared" si="7"/>
        <v>0</v>
      </c>
      <c r="J20" s="17">
        <f t="shared" si="8"/>
        <v>0</v>
      </c>
      <c r="L20" s="17">
        <f t="shared" si="9"/>
        <v>0</v>
      </c>
      <c r="M20" s="10"/>
      <c r="N20" s="10"/>
      <c r="O20" s="22">
        <f t="shared" si="10"/>
        <v>0</v>
      </c>
      <c r="P20" s="17">
        <f t="shared" si="0"/>
        <v>0</v>
      </c>
      <c r="Q20" s="17">
        <f t="shared" si="1"/>
        <v>0</v>
      </c>
      <c r="R20">
        <f t="shared" si="2"/>
        <v>0</v>
      </c>
      <c r="S20">
        <f t="shared" si="3"/>
        <v>0</v>
      </c>
      <c r="T20" s="1" t="e">
        <f t="shared" si="4"/>
        <v>#DIV/0!</v>
      </c>
      <c r="U20" s="23" t="e">
        <f t="shared" si="5"/>
        <v>#DIV/0!</v>
      </c>
    </row>
    <row r="21" spans="1:21" x14ac:dyDescent="0.2">
      <c r="A21" s="9"/>
      <c r="C21" s="11"/>
      <c r="D21" s="11"/>
      <c r="E21" s="11"/>
      <c r="F21" s="11"/>
      <c r="G21" s="17">
        <f t="shared" si="6"/>
        <v>0</v>
      </c>
      <c r="H21" s="10"/>
      <c r="I21" s="17">
        <f t="shared" si="7"/>
        <v>0</v>
      </c>
      <c r="J21" s="17">
        <f t="shared" si="8"/>
        <v>0</v>
      </c>
      <c r="K21" s="11"/>
      <c r="L21" s="17">
        <f t="shared" si="9"/>
        <v>0</v>
      </c>
      <c r="M21" s="10"/>
      <c r="N21" s="10"/>
      <c r="O21" s="22">
        <f t="shared" si="10"/>
        <v>0</v>
      </c>
      <c r="P21" s="17">
        <f t="shared" si="0"/>
        <v>0</v>
      </c>
      <c r="Q21" s="17">
        <f t="shared" si="1"/>
        <v>0</v>
      </c>
      <c r="R21">
        <f t="shared" si="2"/>
        <v>0</v>
      </c>
      <c r="S21">
        <f t="shared" si="3"/>
        <v>0</v>
      </c>
      <c r="T21" s="1" t="e">
        <f t="shared" si="4"/>
        <v>#DIV/0!</v>
      </c>
      <c r="U21" s="23" t="e">
        <f t="shared" si="5"/>
        <v>#DIV/0!</v>
      </c>
    </row>
    <row r="22" spans="1:21" x14ac:dyDescent="0.2">
      <c r="A22" s="9"/>
      <c r="C22" s="11"/>
      <c r="D22" s="11"/>
      <c r="E22" s="11"/>
      <c r="G22" s="17">
        <f t="shared" si="6"/>
        <v>0</v>
      </c>
      <c r="H22" s="3"/>
      <c r="I22" s="17">
        <f t="shared" si="7"/>
        <v>0</v>
      </c>
      <c r="J22" s="17">
        <f t="shared" si="8"/>
        <v>0</v>
      </c>
      <c r="K22" s="11"/>
      <c r="L22" s="17">
        <f t="shared" si="9"/>
        <v>0</v>
      </c>
      <c r="M22" s="10"/>
      <c r="N22" s="10"/>
      <c r="O22" s="22">
        <f t="shared" si="10"/>
        <v>0</v>
      </c>
      <c r="P22" s="17">
        <f t="shared" si="0"/>
        <v>0</v>
      </c>
      <c r="Q22" s="17">
        <f t="shared" si="1"/>
        <v>0</v>
      </c>
      <c r="R22">
        <f t="shared" si="2"/>
        <v>0</v>
      </c>
      <c r="S22">
        <f t="shared" si="3"/>
        <v>0</v>
      </c>
      <c r="T22" s="1" t="e">
        <f t="shared" si="4"/>
        <v>#DIV/0!</v>
      </c>
      <c r="U22" s="23" t="e">
        <f t="shared" si="5"/>
        <v>#DIV/0!</v>
      </c>
    </row>
    <row r="23" spans="1:21" x14ac:dyDescent="0.2">
      <c r="A23" s="9"/>
      <c r="C23" s="11"/>
      <c r="D23" s="11"/>
      <c r="E23" s="11"/>
      <c r="G23" s="17">
        <f t="shared" si="6"/>
        <v>0</v>
      </c>
      <c r="H23" s="3"/>
      <c r="I23" s="17">
        <f t="shared" si="7"/>
        <v>0</v>
      </c>
      <c r="J23" s="17">
        <f t="shared" si="8"/>
        <v>0</v>
      </c>
      <c r="K23" s="11"/>
      <c r="L23" s="17">
        <f t="shared" si="9"/>
        <v>0</v>
      </c>
      <c r="M23" s="10"/>
      <c r="N23" s="10"/>
      <c r="O23" s="22">
        <f t="shared" si="10"/>
        <v>0</v>
      </c>
      <c r="P23" s="17">
        <f t="shared" si="0"/>
        <v>0</v>
      </c>
      <c r="Q23" s="17">
        <f t="shared" si="1"/>
        <v>0</v>
      </c>
      <c r="R23">
        <f t="shared" si="2"/>
        <v>0</v>
      </c>
      <c r="S23">
        <f t="shared" si="3"/>
        <v>0</v>
      </c>
      <c r="T23" s="1" t="e">
        <f t="shared" si="4"/>
        <v>#DIV/0!</v>
      </c>
      <c r="U23" s="23" t="e">
        <f t="shared" si="5"/>
        <v>#DIV/0!</v>
      </c>
    </row>
    <row r="24" spans="1:21" x14ac:dyDescent="0.2">
      <c r="A24" s="9"/>
      <c r="C24" s="11"/>
      <c r="D24" s="11"/>
      <c r="E24" s="11"/>
      <c r="G24" s="17">
        <f t="shared" si="6"/>
        <v>0</v>
      </c>
      <c r="H24" s="3"/>
      <c r="I24" s="17">
        <f t="shared" si="7"/>
        <v>0</v>
      </c>
      <c r="J24" s="17">
        <f t="shared" si="8"/>
        <v>0</v>
      </c>
      <c r="K24" s="11"/>
      <c r="L24" s="17">
        <f t="shared" si="9"/>
        <v>0</v>
      </c>
      <c r="M24" s="10"/>
      <c r="N24" s="10"/>
      <c r="O24" s="22">
        <f t="shared" si="10"/>
        <v>0</v>
      </c>
      <c r="P24" s="17">
        <f t="shared" si="0"/>
        <v>0</v>
      </c>
      <c r="Q24" s="17">
        <f t="shared" si="1"/>
        <v>0</v>
      </c>
      <c r="R24">
        <f t="shared" si="2"/>
        <v>0</v>
      </c>
      <c r="S24">
        <f t="shared" si="3"/>
        <v>0</v>
      </c>
      <c r="T24" s="1" t="e">
        <f t="shared" si="4"/>
        <v>#DIV/0!</v>
      </c>
      <c r="U24" s="23" t="e">
        <f t="shared" si="5"/>
        <v>#DIV/0!</v>
      </c>
    </row>
    <row r="25" spans="1:21" x14ac:dyDescent="0.2">
      <c r="A25" s="9"/>
      <c r="C25" s="11"/>
      <c r="D25" s="11"/>
      <c r="E25" s="11"/>
      <c r="G25" s="17">
        <f t="shared" si="6"/>
        <v>0</v>
      </c>
      <c r="H25" s="3"/>
      <c r="I25" s="17">
        <f t="shared" si="7"/>
        <v>0</v>
      </c>
      <c r="J25" s="17">
        <f t="shared" si="8"/>
        <v>0</v>
      </c>
      <c r="K25" s="11"/>
      <c r="L25" s="17">
        <f t="shared" si="9"/>
        <v>0</v>
      </c>
      <c r="M25" s="10"/>
      <c r="N25" s="10"/>
      <c r="O25" s="22">
        <f t="shared" si="10"/>
        <v>0</v>
      </c>
      <c r="P25" s="17">
        <f t="shared" si="0"/>
        <v>0</v>
      </c>
      <c r="Q25" s="17">
        <f t="shared" si="1"/>
        <v>0</v>
      </c>
      <c r="R25">
        <f t="shared" si="2"/>
        <v>0</v>
      </c>
      <c r="S25">
        <f t="shared" si="3"/>
        <v>0</v>
      </c>
      <c r="T25" s="1" t="e">
        <f t="shared" si="4"/>
        <v>#DIV/0!</v>
      </c>
      <c r="U25" s="23" t="e">
        <f t="shared" si="5"/>
        <v>#DIV/0!</v>
      </c>
    </row>
    <row r="26" spans="1:21" x14ac:dyDescent="0.2">
      <c r="A26" s="9"/>
      <c r="C26" s="11"/>
      <c r="D26" s="11"/>
      <c r="E26" s="11"/>
      <c r="F26" s="11"/>
      <c r="G26" s="17">
        <f t="shared" si="6"/>
        <v>0</v>
      </c>
      <c r="H26" s="10"/>
      <c r="I26" s="17">
        <f t="shared" si="7"/>
        <v>0</v>
      </c>
      <c r="J26" s="17">
        <f t="shared" si="8"/>
        <v>0</v>
      </c>
      <c r="K26" s="11"/>
      <c r="L26" s="17">
        <f t="shared" si="9"/>
        <v>0</v>
      </c>
      <c r="M26" s="10"/>
      <c r="N26" s="10"/>
      <c r="O26" s="22">
        <f t="shared" si="10"/>
        <v>0</v>
      </c>
      <c r="P26" s="17">
        <f t="shared" si="0"/>
        <v>0</v>
      </c>
      <c r="Q26" s="17">
        <f t="shared" si="1"/>
        <v>0</v>
      </c>
      <c r="R26">
        <f t="shared" si="2"/>
        <v>0</v>
      </c>
      <c r="S26">
        <f t="shared" si="3"/>
        <v>0</v>
      </c>
      <c r="T26" s="1" t="e">
        <f t="shared" si="4"/>
        <v>#DIV/0!</v>
      </c>
      <c r="U26" s="23" t="e">
        <f t="shared" si="5"/>
        <v>#DIV/0!</v>
      </c>
    </row>
    <row r="27" spans="1:21" x14ac:dyDescent="0.2">
      <c r="A27" s="9"/>
      <c r="C27" s="11"/>
      <c r="D27" s="11"/>
      <c r="E27" s="11"/>
      <c r="F27" s="11"/>
      <c r="G27" s="17">
        <f t="shared" si="6"/>
        <v>0</v>
      </c>
      <c r="H27" s="10"/>
      <c r="I27" s="17">
        <f t="shared" si="7"/>
        <v>0</v>
      </c>
      <c r="J27" s="17">
        <f t="shared" si="8"/>
        <v>0</v>
      </c>
      <c r="K27" s="11"/>
      <c r="L27" s="17">
        <f t="shared" si="9"/>
        <v>0</v>
      </c>
      <c r="M27" s="10"/>
      <c r="N27" s="10"/>
      <c r="O27" s="22">
        <f t="shared" si="10"/>
        <v>0</v>
      </c>
      <c r="P27" s="17">
        <f t="shared" si="0"/>
        <v>0</v>
      </c>
      <c r="Q27" s="17">
        <f t="shared" si="1"/>
        <v>0</v>
      </c>
      <c r="R27">
        <f t="shared" si="2"/>
        <v>0</v>
      </c>
      <c r="S27">
        <f t="shared" si="3"/>
        <v>0</v>
      </c>
      <c r="T27" s="1" t="e">
        <f t="shared" si="4"/>
        <v>#DIV/0!</v>
      </c>
      <c r="U27" s="23" t="e">
        <f t="shared" si="5"/>
        <v>#DIV/0!</v>
      </c>
    </row>
    <row r="28" spans="1:21" x14ac:dyDescent="0.2">
      <c r="A28" s="9"/>
      <c r="C28" s="11"/>
      <c r="D28" s="11"/>
      <c r="E28" s="11"/>
      <c r="G28" s="17">
        <f t="shared" si="6"/>
        <v>0</v>
      </c>
      <c r="H28" s="3"/>
      <c r="I28" s="17">
        <f t="shared" si="7"/>
        <v>0</v>
      </c>
      <c r="J28" s="17">
        <f t="shared" si="8"/>
        <v>0</v>
      </c>
      <c r="K28" s="11"/>
      <c r="L28" s="17">
        <f t="shared" si="9"/>
        <v>0</v>
      </c>
      <c r="M28" s="10"/>
      <c r="N28" s="10"/>
      <c r="O28" s="22">
        <f t="shared" si="10"/>
        <v>0</v>
      </c>
      <c r="P28" s="17">
        <f t="shared" si="0"/>
        <v>0</v>
      </c>
      <c r="Q28" s="17">
        <f t="shared" si="1"/>
        <v>0</v>
      </c>
      <c r="R28">
        <f t="shared" si="2"/>
        <v>0</v>
      </c>
      <c r="S28">
        <f t="shared" si="3"/>
        <v>0</v>
      </c>
      <c r="T28" s="1" t="e">
        <f t="shared" si="4"/>
        <v>#DIV/0!</v>
      </c>
      <c r="U28" s="23" t="e">
        <f t="shared" si="5"/>
        <v>#DIV/0!</v>
      </c>
    </row>
    <row r="29" spans="1:21" x14ac:dyDescent="0.2">
      <c r="A29" s="9"/>
      <c r="C29" s="11"/>
      <c r="D29" s="11"/>
      <c r="E29" s="11"/>
      <c r="G29" s="17">
        <f t="shared" si="6"/>
        <v>0</v>
      </c>
      <c r="H29" s="3"/>
      <c r="I29" s="17">
        <f t="shared" si="7"/>
        <v>0</v>
      </c>
      <c r="J29" s="17">
        <f t="shared" si="8"/>
        <v>0</v>
      </c>
      <c r="L29" s="17">
        <f t="shared" si="9"/>
        <v>0</v>
      </c>
      <c r="M29" s="10"/>
      <c r="N29" s="10"/>
      <c r="O29" s="22">
        <f t="shared" si="10"/>
        <v>0</v>
      </c>
      <c r="P29" s="17">
        <f t="shared" si="0"/>
        <v>0</v>
      </c>
      <c r="Q29" s="17">
        <f t="shared" si="1"/>
        <v>0</v>
      </c>
      <c r="R29">
        <f t="shared" si="2"/>
        <v>0</v>
      </c>
      <c r="S29">
        <f t="shared" si="3"/>
        <v>0</v>
      </c>
      <c r="T29" s="1" t="e">
        <f t="shared" si="4"/>
        <v>#DIV/0!</v>
      </c>
      <c r="U29" s="23" t="e">
        <f t="shared" si="5"/>
        <v>#DIV/0!</v>
      </c>
    </row>
    <row r="30" spans="1:21" x14ac:dyDescent="0.2">
      <c r="A30" s="9"/>
      <c r="C30" s="11"/>
      <c r="D30" s="11"/>
      <c r="E30" s="11"/>
      <c r="G30" s="17">
        <f t="shared" si="6"/>
        <v>0</v>
      </c>
      <c r="H30" s="3"/>
      <c r="I30" s="17">
        <f t="shared" si="7"/>
        <v>0</v>
      </c>
      <c r="J30" s="17">
        <f t="shared" si="8"/>
        <v>0</v>
      </c>
      <c r="L30" s="17">
        <f t="shared" si="9"/>
        <v>0</v>
      </c>
      <c r="M30" s="10"/>
      <c r="N30" s="10"/>
      <c r="O30" s="22">
        <f t="shared" si="10"/>
        <v>0</v>
      </c>
      <c r="P30" s="17">
        <f t="shared" si="0"/>
        <v>0</v>
      </c>
      <c r="Q30" s="17">
        <f t="shared" si="1"/>
        <v>0</v>
      </c>
      <c r="R30">
        <f t="shared" si="2"/>
        <v>0</v>
      </c>
      <c r="S30">
        <f t="shared" si="3"/>
        <v>0</v>
      </c>
      <c r="T30" s="1" t="e">
        <f t="shared" si="4"/>
        <v>#DIV/0!</v>
      </c>
      <c r="U30" s="23" t="e">
        <f t="shared" si="5"/>
        <v>#DIV/0!</v>
      </c>
    </row>
    <row r="31" spans="1:21" x14ac:dyDescent="0.2">
      <c r="A31" s="9"/>
      <c r="C31" s="11"/>
      <c r="D31" s="11"/>
      <c r="E31" s="11"/>
      <c r="F31" s="11"/>
      <c r="G31" s="17">
        <f t="shared" si="6"/>
        <v>0</v>
      </c>
      <c r="H31" s="3"/>
      <c r="I31" s="20">
        <f t="shared" si="7"/>
        <v>0</v>
      </c>
      <c r="J31" s="17">
        <f t="shared" si="8"/>
        <v>0</v>
      </c>
      <c r="L31" s="17">
        <f t="shared" si="9"/>
        <v>0</v>
      </c>
      <c r="M31" s="10"/>
      <c r="N31" s="10"/>
      <c r="O31" s="22">
        <f t="shared" si="10"/>
        <v>0</v>
      </c>
      <c r="P31" s="17">
        <f t="shared" si="0"/>
        <v>0</v>
      </c>
      <c r="Q31" s="17">
        <f t="shared" si="1"/>
        <v>0</v>
      </c>
      <c r="R31">
        <f t="shared" si="2"/>
        <v>0</v>
      </c>
      <c r="S31">
        <f t="shared" si="3"/>
        <v>0</v>
      </c>
      <c r="T31" s="1" t="e">
        <f t="shared" si="4"/>
        <v>#DIV/0!</v>
      </c>
      <c r="U31" s="23" t="e">
        <f t="shared" si="5"/>
        <v>#DIV/0!</v>
      </c>
    </row>
    <row r="32" spans="1:21" x14ac:dyDescent="0.2">
      <c r="A32" s="9"/>
      <c r="C32" s="11"/>
      <c r="D32" s="11"/>
      <c r="E32" s="11"/>
      <c r="G32" s="17">
        <f t="shared" si="6"/>
        <v>0</v>
      </c>
      <c r="H32" s="3"/>
      <c r="I32" s="20">
        <f t="shared" si="7"/>
        <v>0</v>
      </c>
      <c r="J32" s="17">
        <f t="shared" si="8"/>
        <v>0</v>
      </c>
      <c r="K32" s="11"/>
      <c r="L32" s="17">
        <f t="shared" si="9"/>
        <v>0</v>
      </c>
      <c r="M32" s="10"/>
      <c r="N32" s="10"/>
      <c r="O32" s="22">
        <f t="shared" si="10"/>
        <v>0</v>
      </c>
      <c r="P32" s="17">
        <f t="shared" si="0"/>
        <v>0</v>
      </c>
      <c r="Q32" s="17">
        <f t="shared" si="1"/>
        <v>0</v>
      </c>
      <c r="R32">
        <f t="shared" si="2"/>
        <v>0</v>
      </c>
      <c r="S32">
        <f t="shared" si="3"/>
        <v>0</v>
      </c>
      <c r="T32" s="1" t="e">
        <f t="shared" si="4"/>
        <v>#DIV/0!</v>
      </c>
      <c r="U32" s="23" t="e">
        <f t="shared" si="5"/>
        <v>#DIV/0!</v>
      </c>
    </row>
    <row r="33" spans="1:21" x14ac:dyDescent="0.2">
      <c r="A33" s="9"/>
      <c r="C33" s="11"/>
      <c r="D33" s="11"/>
      <c r="E33" s="11"/>
      <c r="G33" s="17">
        <f t="shared" si="6"/>
        <v>0</v>
      </c>
      <c r="H33" s="3"/>
      <c r="I33" s="20">
        <f t="shared" si="7"/>
        <v>0</v>
      </c>
      <c r="J33" s="17">
        <f t="shared" si="8"/>
        <v>0</v>
      </c>
      <c r="K33" s="11"/>
      <c r="L33" s="17">
        <f t="shared" si="9"/>
        <v>0</v>
      </c>
      <c r="M33" s="10"/>
      <c r="N33" s="10"/>
      <c r="O33" s="22">
        <f t="shared" si="10"/>
        <v>0</v>
      </c>
      <c r="P33" s="17">
        <f t="shared" si="0"/>
        <v>0</v>
      </c>
      <c r="Q33" s="17">
        <f t="shared" si="1"/>
        <v>0</v>
      </c>
      <c r="R33">
        <f t="shared" si="2"/>
        <v>0</v>
      </c>
      <c r="S33">
        <f t="shared" si="3"/>
        <v>0</v>
      </c>
      <c r="T33" s="1" t="e">
        <f t="shared" si="4"/>
        <v>#DIV/0!</v>
      </c>
      <c r="U33" s="23" t="e">
        <f t="shared" si="5"/>
        <v>#DIV/0!</v>
      </c>
    </row>
    <row r="34" spans="1:21" x14ac:dyDescent="0.2">
      <c r="A34" s="9"/>
      <c r="C34" s="11"/>
      <c r="D34" s="11"/>
      <c r="E34" s="11"/>
      <c r="G34" s="17">
        <f t="shared" si="6"/>
        <v>0</v>
      </c>
      <c r="H34" s="3"/>
      <c r="I34" s="20">
        <f t="shared" si="7"/>
        <v>0</v>
      </c>
      <c r="J34" s="17">
        <f t="shared" si="8"/>
        <v>0</v>
      </c>
      <c r="K34" s="11"/>
      <c r="L34" s="17">
        <f t="shared" si="9"/>
        <v>0</v>
      </c>
      <c r="M34" s="10"/>
      <c r="N34" s="10"/>
      <c r="O34" s="22">
        <f t="shared" si="10"/>
        <v>0</v>
      </c>
      <c r="P34" s="17">
        <f t="shared" si="0"/>
        <v>0</v>
      </c>
      <c r="Q34" s="17">
        <f t="shared" si="1"/>
        <v>0</v>
      </c>
      <c r="R34">
        <f t="shared" si="2"/>
        <v>0</v>
      </c>
      <c r="S34">
        <f t="shared" si="3"/>
        <v>0</v>
      </c>
      <c r="T34" s="1" t="e">
        <f t="shared" si="4"/>
        <v>#DIV/0!</v>
      </c>
      <c r="U34" s="23" t="e">
        <f t="shared" si="5"/>
        <v>#DIV/0!</v>
      </c>
    </row>
    <row r="35" spans="1:21" x14ac:dyDescent="0.2">
      <c r="A35" s="9"/>
      <c r="C35" s="11"/>
      <c r="D35" s="11"/>
      <c r="E35" s="11"/>
      <c r="G35" s="17">
        <f t="shared" si="6"/>
        <v>0</v>
      </c>
      <c r="H35" s="3"/>
      <c r="I35" s="20">
        <f t="shared" si="7"/>
        <v>0</v>
      </c>
      <c r="J35" s="17">
        <f t="shared" si="8"/>
        <v>0</v>
      </c>
      <c r="L35" s="17">
        <f t="shared" si="9"/>
        <v>0</v>
      </c>
      <c r="M35" s="10"/>
      <c r="N35" s="10"/>
      <c r="O35" s="22">
        <f t="shared" si="10"/>
        <v>0</v>
      </c>
      <c r="P35" s="17">
        <f t="shared" si="0"/>
        <v>0</v>
      </c>
      <c r="Q35" s="17">
        <f t="shared" si="1"/>
        <v>0</v>
      </c>
      <c r="R35">
        <f t="shared" si="2"/>
        <v>0</v>
      </c>
      <c r="S35">
        <f t="shared" si="3"/>
        <v>0</v>
      </c>
      <c r="T35" s="1" t="e">
        <f t="shared" si="4"/>
        <v>#DIV/0!</v>
      </c>
      <c r="U35" s="23" t="e">
        <f t="shared" si="5"/>
        <v>#DIV/0!</v>
      </c>
    </row>
    <row r="36" spans="1:21" x14ac:dyDescent="0.2">
      <c r="A36" s="9"/>
      <c r="C36" s="11"/>
      <c r="D36" s="11"/>
      <c r="E36" s="11"/>
      <c r="F36" s="11"/>
      <c r="G36" s="17">
        <f t="shared" si="6"/>
        <v>0</v>
      </c>
      <c r="H36" s="10"/>
      <c r="I36" s="20">
        <f t="shared" si="7"/>
        <v>0</v>
      </c>
      <c r="J36" s="17">
        <f t="shared" si="8"/>
        <v>0</v>
      </c>
      <c r="K36" s="11"/>
      <c r="L36" s="17">
        <f t="shared" si="9"/>
        <v>0</v>
      </c>
      <c r="M36" s="10"/>
      <c r="N36" s="10"/>
      <c r="O36" s="22">
        <f t="shared" si="10"/>
        <v>0</v>
      </c>
      <c r="P36" s="17">
        <f t="shared" si="0"/>
        <v>0</v>
      </c>
      <c r="Q36" s="17">
        <f t="shared" si="1"/>
        <v>0</v>
      </c>
      <c r="R36">
        <f t="shared" si="2"/>
        <v>0</v>
      </c>
      <c r="S36">
        <f t="shared" si="3"/>
        <v>0</v>
      </c>
      <c r="T36" s="1" t="e">
        <f t="shared" si="4"/>
        <v>#DIV/0!</v>
      </c>
      <c r="U36" s="23" t="e">
        <f t="shared" si="5"/>
        <v>#DIV/0!</v>
      </c>
    </row>
    <row r="37" spans="1:21" x14ac:dyDescent="0.2">
      <c r="A37" s="9"/>
      <c r="C37" s="11"/>
      <c r="D37" s="11"/>
      <c r="E37" s="11"/>
      <c r="G37" s="17">
        <f t="shared" si="6"/>
        <v>0</v>
      </c>
      <c r="H37" s="3"/>
      <c r="I37" s="20">
        <f t="shared" si="7"/>
        <v>0</v>
      </c>
      <c r="J37" s="17">
        <f t="shared" si="8"/>
        <v>0</v>
      </c>
      <c r="L37" s="17">
        <f t="shared" si="9"/>
        <v>0</v>
      </c>
      <c r="M37" s="10"/>
      <c r="N37" s="10"/>
      <c r="O37" s="22">
        <f t="shared" si="10"/>
        <v>0</v>
      </c>
      <c r="P37" s="17">
        <f t="shared" si="0"/>
        <v>0</v>
      </c>
      <c r="Q37" s="17">
        <f t="shared" si="1"/>
        <v>0</v>
      </c>
      <c r="R37">
        <f t="shared" si="2"/>
        <v>0</v>
      </c>
      <c r="S37">
        <f t="shared" si="3"/>
        <v>0</v>
      </c>
      <c r="T37" s="1" t="e">
        <f t="shared" si="4"/>
        <v>#DIV/0!</v>
      </c>
      <c r="U37" s="23" t="e">
        <f t="shared" si="5"/>
        <v>#DIV/0!</v>
      </c>
    </row>
    <row r="38" spans="1:21" x14ac:dyDescent="0.2">
      <c r="A38" s="9"/>
      <c r="C38" s="11"/>
      <c r="D38" s="11"/>
      <c r="E38" s="11"/>
      <c r="G38" s="17">
        <f t="shared" si="6"/>
        <v>0</v>
      </c>
      <c r="H38" s="3"/>
      <c r="I38" s="20">
        <f t="shared" si="7"/>
        <v>0</v>
      </c>
      <c r="J38" s="17">
        <f t="shared" si="8"/>
        <v>0</v>
      </c>
      <c r="L38" s="17">
        <f t="shared" si="9"/>
        <v>0</v>
      </c>
      <c r="M38" s="10"/>
      <c r="N38" s="10"/>
      <c r="O38" s="22">
        <f t="shared" si="10"/>
        <v>0</v>
      </c>
      <c r="P38" s="17">
        <f t="shared" si="0"/>
        <v>0</v>
      </c>
      <c r="Q38" s="17">
        <f t="shared" si="1"/>
        <v>0</v>
      </c>
      <c r="R38">
        <f t="shared" si="2"/>
        <v>0</v>
      </c>
      <c r="S38">
        <f t="shared" si="3"/>
        <v>0</v>
      </c>
      <c r="T38" s="1" t="e">
        <f t="shared" si="4"/>
        <v>#DIV/0!</v>
      </c>
      <c r="U38" s="23" t="e">
        <f t="shared" si="5"/>
        <v>#DIV/0!</v>
      </c>
    </row>
    <row r="39" spans="1:21" x14ac:dyDescent="0.2">
      <c r="A39" s="9"/>
      <c r="C39" s="11"/>
      <c r="D39" s="11"/>
      <c r="E39" s="11"/>
      <c r="G39" s="17">
        <f t="shared" si="6"/>
        <v>0</v>
      </c>
      <c r="H39" s="3"/>
      <c r="I39" s="20">
        <f t="shared" si="7"/>
        <v>0</v>
      </c>
      <c r="J39" s="17">
        <f t="shared" si="8"/>
        <v>0</v>
      </c>
      <c r="L39" s="17">
        <f t="shared" si="9"/>
        <v>0</v>
      </c>
      <c r="M39" s="10"/>
      <c r="N39" s="10"/>
      <c r="O39" s="22">
        <f t="shared" si="10"/>
        <v>0</v>
      </c>
      <c r="P39" s="17">
        <f t="shared" si="0"/>
        <v>0</v>
      </c>
      <c r="Q39" s="17">
        <f t="shared" si="1"/>
        <v>0</v>
      </c>
      <c r="R39">
        <f t="shared" si="2"/>
        <v>0</v>
      </c>
      <c r="S39">
        <f t="shared" si="3"/>
        <v>0</v>
      </c>
      <c r="T39" s="1" t="e">
        <f t="shared" si="4"/>
        <v>#DIV/0!</v>
      </c>
      <c r="U39" s="23" t="e">
        <f t="shared" si="5"/>
        <v>#DIV/0!</v>
      </c>
    </row>
    <row r="40" spans="1:21" x14ac:dyDescent="0.2">
      <c r="A40" s="9"/>
      <c r="C40" s="11"/>
      <c r="D40" s="11"/>
      <c r="E40" s="11"/>
      <c r="F40" s="11"/>
      <c r="G40" s="17">
        <f t="shared" si="6"/>
        <v>0</v>
      </c>
      <c r="H40" s="10"/>
      <c r="I40" s="20">
        <f t="shared" si="7"/>
        <v>0</v>
      </c>
      <c r="J40" s="17">
        <f t="shared" si="8"/>
        <v>0</v>
      </c>
      <c r="L40" s="17">
        <f t="shared" si="9"/>
        <v>0</v>
      </c>
      <c r="M40" s="10"/>
      <c r="N40" s="10"/>
      <c r="O40" s="22">
        <f t="shared" si="10"/>
        <v>0</v>
      </c>
      <c r="P40" s="17">
        <f t="shared" si="0"/>
        <v>0</v>
      </c>
      <c r="Q40" s="17">
        <f t="shared" si="1"/>
        <v>0</v>
      </c>
      <c r="R40">
        <f t="shared" si="2"/>
        <v>0</v>
      </c>
      <c r="S40">
        <f t="shared" si="3"/>
        <v>0</v>
      </c>
      <c r="T40" s="1" t="e">
        <f t="shared" si="4"/>
        <v>#DIV/0!</v>
      </c>
      <c r="U40" s="23" t="e">
        <f t="shared" si="5"/>
        <v>#DIV/0!</v>
      </c>
    </row>
    <row r="41" spans="1:21" x14ac:dyDescent="0.2">
      <c r="A41" s="9"/>
      <c r="C41" s="11"/>
      <c r="D41" s="11"/>
      <c r="E41" s="11"/>
      <c r="G41" s="17">
        <f t="shared" si="6"/>
        <v>0</v>
      </c>
      <c r="H41" s="6"/>
      <c r="I41" s="20">
        <f t="shared" si="7"/>
        <v>0</v>
      </c>
      <c r="J41" s="17">
        <f t="shared" si="8"/>
        <v>0</v>
      </c>
      <c r="L41" s="17">
        <f t="shared" si="9"/>
        <v>0</v>
      </c>
      <c r="M41" s="10"/>
      <c r="N41" s="10"/>
      <c r="O41" s="22">
        <f t="shared" si="10"/>
        <v>0</v>
      </c>
      <c r="P41" s="17">
        <f t="shared" si="0"/>
        <v>0</v>
      </c>
      <c r="Q41" s="17">
        <f t="shared" si="1"/>
        <v>0</v>
      </c>
      <c r="R41">
        <f t="shared" si="2"/>
        <v>0</v>
      </c>
      <c r="S41">
        <f t="shared" si="3"/>
        <v>0</v>
      </c>
      <c r="T41" s="1" t="e">
        <f t="shared" si="4"/>
        <v>#DIV/0!</v>
      </c>
      <c r="U41" s="23" t="e">
        <f t="shared" si="5"/>
        <v>#DIV/0!</v>
      </c>
    </row>
    <row r="42" spans="1:21" x14ac:dyDescent="0.2">
      <c r="A42" s="9"/>
      <c r="C42" s="11"/>
      <c r="D42" s="11"/>
      <c r="E42" s="11"/>
      <c r="F42" s="11"/>
      <c r="G42" s="17">
        <f t="shared" si="6"/>
        <v>0</v>
      </c>
      <c r="H42" s="10"/>
      <c r="I42" s="20">
        <f t="shared" si="7"/>
        <v>0</v>
      </c>
      <c r="J42" s="17">
        <f t="shared" si="8"/>
        <v>0</v>
      </c>
      <c r="K42" s="11"/>
      <c r="L42" s="17">
        <f t="shared" si="9"/>
        <v>0</v>
      </c>
      <c r="M42" s="10"/>
      <c r="N42" s="10"/>
      <c r="O42" s="22">
        <f t="shared" si="10"/>
        <v>0</v>
      </c>
      <c r="P42" s="17">
        <f t="shared" si="0"/>
        <v>0</v>
      </c>
      <c r="Q42" s="17">
        <f t="shared" si="1"/>
        <v>0</v>
      </c>
      <c r="R42">
        <f t="shared" si="2"/>
        <v>0</v>
      </c>
      <c r="S42">
        <f t="shared" si="3"/>
        <v>0</v>
      </c>
      <c r="T42" s="1" t="e">
        <f t="shared" si="4"/>
        <v>#DIV/0!</v>
      </c>
      <c r="U42" s="23" t="e">
        <f t="shared" si="5"/>
        <v>#DIV/0!</v>
      </c>
    </row>
    <row r="43" spans="1:21" x14ac:dyDescent="0.2">
      <c r="A43" s="9"/>
      <c r="C43" s="11"/>
      <c r="D43" s="11"/>
      <c r="E43" s="11"/>
      <c r="G43" s="17">
        <f t="shared" si="6"/>
        <v>0</v>
      </c>
      <c r="H43" s="6"/>
      <c r="I43" s="20">
        <f t="shared" si="7"/>
        <v>0</v>
      </c>
      <c r="J43" s="17">
        <f t="shared" si="8"/>
        <v>0</v>
      </c>
      <c r="L43" s="17">
        <f t="shared" si="9"/>
        <v>0</v>
      </c>
      <c r="M43" s="10"/>
      <c r="N43" s="10"/>
      <c r="O43" s="22">
        <f t="shared" si="10"/>
        <v>0</v>
      </c>
      <c r="P43" s="17">
        <f t="shared" si="0"/>
        <v>0</v>
      </c>
      <c r="Q43" s="17">
        <f t="shared" si="1"/>
        <v>0</v>
      </c>
      <c r="R43">
        <f t="shared" si="2"/>
        <v>0</v>
      </c>
      <c r="S43">
        <f t="shared" si="3"/>
        <v>0</v>
      </c>
      <c r="T43" s="1" t="e">
        <f t="shared" si="4"/>
        <v>#DIV/0!</v>
      </c>
      <c r="U43" s="23" t="e">
        <f t="shared" si="5"/>
        <v>#DIV/0!</v>
      </c>
    </row>
    <row r="44" spans="1:21" x14ac:dyDescent="0.2">
      <c r="A44" s="9"/>
      <c r="C44" s="11"/>
      <c r="D44" s="11"/>
      <c r="E44" s="11"/>
      <c r="G44" s="17">
        <f t="shared" si="6"/>
        <v>0</v>
      </c>
      <c r="H44" s="6"/>
      <c r="I44" s="20">
        <f t="shared" si="7"/>
        <v>0</v>
      </c>
      <c r="J44" s="17">
        <f t="shared" si="8"/>
        <v>0</v>
      </c>
      <c r="L44" s="17">
        <f t="shared" si="9"/>
        <v>0</v>
      </c>
      <c r="M44" s="10"/>
      <c r="N44" s="10"/>
      <c r="O44" s="22">
        <f t="shared" si="10"/>
        <v>0</v>
      </c>
      <c r="P44" s="17">
        <f t="shared" si="0"/>
        <v>0</v>
      </c>
      <c r="Q44" s="17">
        <f t="shared" si="1"/>
        <v>0</v>
      </c>
      <c r="R44">
        <f t="shared" si="2"/>
        <v>0</v>
      </c>
      <c r="S44">
        <f t="shared" si="3"/>
        <v>0</v>
      </c>
      <c r="T44" s="1" t="e">
        <f t="shared" si="4"/>
        <v>#DIV/0!</v>
      </c>
      <c r="U44" s="23" t="e">
        <f t="shared" si="5"/>
        <v>#DIV/0!</v>
      </c>
    </row>
    <row r="45" spans="1:21" x14ac:dyDescent="0.2">
      <c r="A45" s="9"/>
      <c r="C45" s="11"/>
      <c r="D45" s="11"/>
      <c r="E45" s="11"/>
      <c r="G45" s="17">
        <f t="shared" si="6"/>
        <v>0</v>
      </c>
      <c r="H45" s="6"/>
      <c r="I45" s="20">
        <f t="shared" si="7"/>
        <v>0</v>
      </c>
      <c r="J45" s="17">
        <f t="shared" si="8"/>
        <v>0</v>
      </c>
      <c r="L45" s="17">
        <f t="shared" si="9"/>
        <v>0</v>
      </c>
      <c r="M45" s="10"/>
      <c r="N45" s="10"/>
      <c r="O45" s="22">
        <f t="shared" si="10"/>
        <v>0</v>
      </c>
      <c r="P45" s="17">
        <f t="shared" si="0"/>
        <v>0</v>
      </c>
      <c r="Q45" s="17">
        <f t="shared" si="1"/>
        <v>0</v>
      </c>
      <c r="R45">
        <f t="shared" si="2"/>
        <v>0</v>
      </c>
      <c r="S45">
        <f t="shared" si="3"/>
        <v>0</v>
      </c>
      <c r="T45" s="1" t="e">
        <f t="shared" si="4"/>
        <v>#DIV/0!</v>
      </c>
      <c r="U45" s="23" t="e">
        <f t="shared" si="5"/>
        <v>#DIV/0!</v>
      </c>
    </row>
    <row r="46" spans="1:21" x14ac:dyDescent="0.2">
      <c r="A46" s="9"/>
      <c r="C46" s="11"/>
      <c r="D46" s="11"/>
      <c r="E46" s="11"/>
      <c r="G46" s="17">
        <f t="shared" si="6"/>
        <v>0</v>
      </c>
      <c r="H46" s="6"/>
      <c r="I46" s="20">
        <f t="shared" si="7"/>
        <v>0</v>
      </c>
      <c r="J46" s="17">
        <f t="shared" si="8"/>
        <v>0</v>
      </c>
      <c r="K46" s="11"/>
      <c r="L46" s="17">
        <f t="shared" si="9"/>
        <v>0</v>
      </c>
      <c r="M46" s="10"/>
      <c r="N46" s="10"/>
      <c r="O46" s="22">
        <f t="shared" si="10"/>
        <v>0</v>
      </c>
      <c r="P46" s="17">
        <f t="shared" si="0"/>
        <v>0</v>
      </c>
      <c r="Q46" s="17">
        <f t="shared" si="1"/>
        <v>0</v>
      </c>
      <c r="R46">
        <f t="shared" si="2"/>
        <v>0</v>
      </c>
      <c r="S46">
        <f t="shared" si="3"/>
        <v>0</v>
      </c>
      <c r="T46" s="1" t="e">
        <f t="shared" si="4"/>
        <v>#DIV/0!</v>
      </c>
      <c r="U46" s="23" t="e">
        <f t="shared" si="5"/>
        <v>#DIV/0!</v>
      </c>
    </row>
    <row r="47" spans="1:21" x14ac:dyDescent="0.2">
      <c r="A47" s="9"/>
      <c r="C47" s="11"/>
      <c r="D47" s="11"/>
      <c r="E47" s="11"/>
      <c r="G47" s="17">
        <f t="shared" si="6"/>
        <v>0</v>
      </c>
      <c r="H47" s="6"/>
      <c r="I47" s="20">
        <f t="shared" si="7"/>
        <v>0</v>
      </c>
      <c r="J47" s="17">
        <f t="shared" si="8"/>
        <v>0</v>
      </c>
      <c r="K47" s="11"/>
      <c r="L47" s="17">
        <f t="shared" si="9"/>
        <v>0</v>
      </c>
      <c r="M47" s="10"/>
      <c r="N47" s="10"/>
      <c r="O47" s="22">
        <f t="shared" si="10"/>
        <v>0</v>
      </c>
      <c r="P47" s="17">
        <f t="shared" si="0"/>
        <v>0</v>
      </c>
      <c r="Q47" s="17">
        <f t="shared" si="1"/>
        <v>0</v>
      </c>
      <c r="R47">
        <f t="shared" si="2"/>
        <v>0</v>
      </c>
      <c r="S47">
        <f t="shared" si="3"/>
        <v>0</v>
      </c>
      <c r="T47" s="1" t="e">
        <f t="shared" si="4"/>
        <v>#DIV/0!</v>
      </c>
      <c r="U47" s="23" t="e">
        <f t="shared" si="5"/>
        <v>#DIV/0!</v>
      </c>
    </row>
    <row r="48" spans="1:21" x14ac:dyDescent="0.2">
      <c r="A48" s="9"/>
      <c r="C48" s="11"/>
      <c r="D48" s="11"/>
      <c r="E48" s="11"/>
      <c r="G48" s="17">
        <f t="shared" si="6"/>
        <v>0</v>
      </c>
      <c r="H48" s="6"/>
      <c r="I48" s="20">
        <f t="shared" si="7"/>
        <v>0</v>
      </c>
      <c r="J48" s="17">
        <f t="shared" si="8"/>
        <v>0</v>
      </c>
      <c r="L48" s="17">
        <f t="shared" si="9"/>
        <v>0</v>
      </c>
      <c r="M48" s="10"/>
      <c r="N48" s="10"/>
      <c r="O48" s="22">
        <f t="shared" si="10"/>
        <v>0</v>
      </c>
      <c r="P48" s="17">
        <f t="shared" si="0"/>
        <v>0</v>
      </c>
      <c r="Q48" s="17">
        <f t="shared" si="1"/>
        <v>0</v>
      </c>
      <c r="R48">
        <f t="shared" si="2"/>
        <v>0</v>
      </c>
      <c r="S48">
        <f t="shared" si="3"/>
        <v>0</v>
      </c>
      <c r="T48" s="1" t="e">
        <f t="shared" si="4"/>
        <v>#DIV/0!</v>
      </c>
      <c r="U48" s="23" t="e">
        <f t="shared" si="5"/>
        <v>#DIV/0!</v>
      </c>
    </row>
    <row r="49" spans="1:21" x14ac:dyDescent="0.2">
      <c r="A49" s="9"/>
      <c r="C49" s="11"/>
      <c r="D49" s="11"/>
      <c r="E49" s="11"/>
      <c r="F49" s="11"/>
      <c r="G49" s="17">
        <f t="shared" si="6"/>
        <v>0</v>
      </c>
      <c r="I49" s="20">
        <f t="shared" si="7"/>
        <v>0</v>
      </c>
      <c r="J49" s="17">
        <f t="shared" si="8"/>
        <v>0</v>
      </c>
      <c r="L49" s="17">
        <f t="shared" si="9"/>
        <v>0</v>
      </c>
      <c r="M49" s="10"/>
      <c r="N49" s="10"/>
      <c r="O49" s="22">
        <f t="shared" si="10"/>
        <v>0</v>
      </c>
      <c r="P49" s="17">
        <f t="shared" si="0"/>
        <v>0</v>
      </c>
      <c r="Q49" s="17">
        <f t="shared" si="1"/>
        <v>0</v>
      </c>
      <c r="R49">
        <f t="shared" si="2"/>
        <v>0</v>
      </c>
      <c r="S49">
        <f t="shared" si="3"/>
        <v>0</v>
      </c>
      <c r="T49" s="1" t="e">
        <f t="shared" si="4"/>
        <v>#DIV/0!</v>
      </c>
      <c r="U49" s="23" t="e">
        <f t="shared" si="5"/>
        <v>#DIV/0!</v>
      </c>
    </row>
    <row r="50" spans="1:21" x14ac:dyDescent="0.2">
      <c r="A50" s="9"/>
      <c r="C50" s="11"/>
      <c r="D50" s="11"/>
      <c r="E50" s="11"/>
      <c r="G50" s="17">
        <f t="shared" si="6"/>
        <v>0</v>
      </c>
      <c r="H50" s="6"/>
      <c r="I50" s="20">
        <f t="shared" si="7"/>
        <v>0</v>
      </c>
      <c r="J50" s="17">
        <f t="shared" si="8"/>
        <v>0</v>
      </c>
      <c r="L50" s="17">
        <f t="shared" si="9"/>
        <v>0</v>
      </c>
      <c r="M50" s="10"/>
      <c r="N50" s="10"/>
      <c r="O50" s="22">
        <f t="shared" si="10"/>
        <v>0</v>
      </c>
      <c r="P50" s="17">
        <f t="shared" si="0"/>
        <v>0</v>
      </c>
      <c r="Q50" s="17">
        <f t="shared" si="1"/>
        <v>0</v>
      </c>
      <c r="R50">
        <f t="shared" si="2"/>
        <v>0</v>
      </c>
      <c r="S50">
        <f t="shared" si="3"/>
        <v>0</v>
      </c>
      <c r="T50" s="1" t="e">
        <f t="shared" si="4"/>
        <v>#DIV/0!</v>
      </c>
      <c r="U50" s="23" t="e">
        <f t="shared" si="5"/>
        <v>#DIV/0!</v>
      </c>
    </row>
    <row r="51" spans="1:21" x14ac:dyDescent="0.2">
      <c r="A51" s="9"/>
      <c r="C51" s="11"/>
      <c r="D51" s="11"/>
      <c r="E51" s="11"/>
      <c r="G51" s="17">
        <f t="shared" si="6"/>
        <v>0</v>
      </c>
      <c r="H51" s="6"/>
      <c r="I51" s="20">
        <f t="shared" si="7"/>
        <v>0</v>
      </c>
      <c r="J51" s="17">
        <f t="shared" si="8"/>
        <v>0</v>
      </c>
      <c r="L51" s="17">
        <f t="shared" si="9"/>
        <v>0</v>
      </c>
      <c r="M51" s="10"/>
      <c r="N51" s="10"/>
      <c r="O51" s="22">
        <f t="shared" si="10"/>
        <v>0</v>
      </c>
      <c r="P51" s="17">
        <f t="shared" si="0"/>
        <v>0</v>
      </c>
      <c r="Q51" s="17">
        <f t="shared" si="1"/>
        <v>0</v>
      </c>
      <c r="R51">
        <f t="shared" si="2"/>
        <v>0</v>
      </c>
      <c r="S51">
        <f t="shared" si="3"/>
        <v>0</v>
      </c>
      <c r="T51" s="1" t="e">
        <f t="shared" si="4"/>
        <v>#DIV/0!</v>
      </c>
      <c r="U51" s="23" t="e">
        <f t="shared" si="5"/>
        <v>#DIV/0!</v>
      </c>
    </row>
    <row r="52" spans="1:21" x14ac:dyDescent="0.2">
      <c r="A52" s="9"/>
      <c r="C52" s="11"/>
      <c r="D52" s="11"/>
      <c r="E52" s="11"/>
      <c r="G52" s="17">
        <f t="shared" si="6"/>
        <v>0</v>
      </c>
      <c r="H52" s="6"/>
      <c r="I52" s="20">
        <f t="shared" si="7"/>
        <v>0</v>
      </c>
      <c r="J52" s="17">
        <f t="shared" si="8"/>
        <v>0</v>
      </c>
      <c r="L52" s="17">
        <f t="shared" si="9"/>
        <v>0</v>
      </c>
      <c r="M52" s="10"/>
      <c r="N52" s="10"/>
      <c r="O52" s="22">
        <f t="shared" si="10"/>
        <v>0</v>
      </c>
      <c r="P52" s="17">
        <f t="shared" si="0"/>
        <v>0</v>
      </c>
      <c r="Q52" s="17">
        <f t="shared" si="1"/>
        <v>0</v>
      </c>
      <c r="R52">
        <f t="shared" si="2"/>
        <v>0</v>
      </c>
      <c r="S52">
        <f t="shared" si="3"/>
        <v>0</v>
      </c>
      <c r="T52" s="1" t="e">
        <f t="shared" si="4"/>
        <v>#DIV/0!</v>
      </c>
      <c r="U52" s="23" t="e">
        <f t="shared" si="5"/>
        <v>#DIV/0!</v>
      </c>
    </row>
    <row r="53" spans="1:21" x14ac:dyDescent="0.2">
      <c r="A53" s="9"/>
      <c r="C53" s="11"/>
      <c r="D53" s="11"/>
      <c r="E53" s="11"/>
      <c r="G53" s="17">
        <f t="shared" si="6"/>
        <v>0</v>
      </c>
      <c r="H53" s="6"/>
      <c r="I53" s="20">
        <f t="shared" si="7"/>
        <v>0</v>
      </c>
      <c r="J53" s="17">
        <f t="shared" si="8"/>
        <v>0</v>
      </c>
      <c r="L53" s="17">
        <f t="shared" si="9"/>
        <v>0</v>
      </c>
      <c r="M53" s="10"/>
      <c r="N53" s="10"/>
      <c r="O53" s="22">
        <f t="shared" si="10"/>
        <v>0</v>
      </c>
      <c r="P53" s="17">
        <f t="shared" si="0"/>
        <v>0</v>
      </c>
      <c r="Q53" s="17">
        <f t="shared" si="1"/>
        <v>0</v>
      </c>
      <c r="R53">
        <f t="shared" si="2"/>
        <v>0</v>
      </c>
      <c r="S53">
        <f t="shared" si="3"/>
        <v>0</v>
      </c>
      <c r="T53" s="1" t="e">
        <f t="shared" si="4"/>
        <v>#DIV/0!</v>
      </c>
      <c r="U53" s="23" t="e">
        <f t="shared" si="5"/>
        <v>#DIV/0!</v>
      </c>
    </row>
    <row r="54" spans="1:21" x14ac:dyDescent="0.2">
      <c r="A54" s="9"/>
      <c r="C54" s="11"/>
      <c r="D54" s="11"/>
      <c r="E54" s="11"/>
      <c r="F54" s="11"/>
      <c r="G54" s="17">
        <f t="shared" si="6"/>
        <v>0</v>
      </c>
      <c r="H54" s="10"/>
      <c r="I54" s="20">
        <f t="shared" si="7"/>
        <v>0</v>
      </c>
      <c r="J54" s="17">
        <f t="shared" si="8"/>
        <v>0</v>
      </c>
      <c r="L54" s="17">
        <f t="shared" si="9"/>
        <v>0</v>
      </c>
      <c r="M54" s="10"/>
      <c r="N54" s="10"/>
      <c r="O54" s="22">
        <f t="shared" si="10"/>
        <v>0</v>
      </c>
      <c r="P54" s="17">
        <f t="shared" si="0"/>
        <v>0</v>
      </c>
      <c r="Q54" s="17">
        <f t="shared" si="1"/>
        <v>0</v>
      </c>
      <c r="R54">
        <f t="shared" si="2"/>
        <v>0</v>
      </c>
      <c r="S54">
        <f t="shared" si="3"/>
        <v>0</v>
      </c>
      <c r="T54" s="1" t="e">
        <f t="shared" si="4"/>
        <v>#DIV/0!</v>
      </c>
      <c r="U54" s="23" t="e">
        <f t="shared" si="5"/>
        <v>#DIV/0!</v>
      </c>
    </row>
    <row r="55" spans="1:21" x14ac:dyDescent="0.2">
      <c r="A55" s="9"/>
      <c r="C55" s="11"/>
      <c r="D55" s="11"/>
      <c r="E55" s="11"/>
      <c r="G55" s="17">
        <f t="shared" si="6"/>
        <v>0</v>
      </c>
      <c r="H55" s="6"/>
      <c r="I55" s="20">
        <f t="shared" si="7"/>
        <v>0</v>
      </c>
      <c r="J55" s="17">
        <f t="shared" si="8"/>
        <v>0</v>
      </c>
      <c r="L55" s="17">
        <f t="shared" si="9"/>
        <v>0</v>
      </c>
      <c r="M55" s="10"/>
      <c r="N55" s="10"/>
      <c r="O55" s="22">
        <f t="shared" si="10"/>
        <v>0</v>
      </c>
      <c r="P55" s="17">
        <f t="shared" si="0"/>
        <v>0</v>
      </c>
      <c r="Q55" s="17">
        <f t="shared" si="1"/>
        <v>0</v>
      </c>
      <c r="R55">
        <f t="shared" si="2"/>
        <v>0</v>
      </c>
      <c r="S55">
        <f t="shared" si="3"/>
        <v>0</v>
      </c>
      <c r="T55" s="1" t="e">
        <f t="shared" si="4"/>
        <v>#DIV/0!</v>
      </c>
      <c r="U55" s="23" t="e">
        <f t="shared" si="5"/>
        <v>#DIV/0!</v>
      </c>
    </row>
    <row r="56" spans="1:21" x14ac:dyDescent="0.2">
      <c r="A56" s="9"/>
      <c r="C56" s="11"/>
      <c r="D56" s="11"/>
      <c r="E56" s="11"/>
      <c r="G56" s="17">
        <f t="shared" si="6"/>
        <v>0</v>
      </c>
      <c r="H56" s="6"/>
      <c r="I56" s="20">
        <f t="shared" si="7"/>
        <v>0</v>
      </c>
      <c r="J56" s="17">
        <f t="shared" si="8"/>
        <v>0</v>
      </c>
      <c r="L56" s="17">
        <f t="shared" si="9"/>
        <v>0</v>
      </c>
      <c r="M56" s="10"/>
      <c r="N56" s="10"/>
      <c r="O56" s="22">
        <f t="shared" si="10"/>
        <v>0</v>
      </c>
      <c r="P56" s="17">
        <f t="shared" si="0"/>
        <v>0</v>
      </c>
      <c r="Q56" s="17">
        <f t="shared" si="1"/>
        <v>0</v>
      </c>
      <c r="R56">
        <f t="shared" si="2"/>
        <v>0</v>
      </c>
      <c r="S56">
        <f t="shared" si="3"/>
        <v>0</v>
      </c>
      <c r="T56" s="1" t="e">
        <f t="shared" si="4"/>
        <v>#DIV/0!</v>
      </c>
      <c r="U56" s="23" t="e">
        <f t="shared" si="5"/>
        <v>#DIV/0!</v>
      </c>
    </row>
    <row r="57" spans="1:21" x14ac:dyDescent="0.2">
      <c r="A57" s="9"/>
      <c r="C57" s="11"/>
      <c r="D57" s="11"/>
      <c r="E57" s="11"/>
      <c r="F57" s="11"/>
      <c r="G57" s="17">
        <f t="shared" si="6"/>
        <v>0</v>
      </c>
      <c r="H57" s="6"/>
      <c r="I57" s="20">
        <f t="shared" si="7"/>
        <v>0</v>
      </c>
      <c r="J57" s="17">
        <f t="shared" si="8"/>
        <v>0</v>
      </c>
      <c r="L57" s="17">
        <f t="shared" si="9"/>
        <v>0</v>
      </c>
      <c r="M57" s="10"/>
      <c r="N57" s="10"/>
      <c r="O57" s="22">
        <f t="shared" si="10"/>
        <v>0</v>
      </c>
      <c r="P57" s="17">
        <f t="shared" si="0"/>
        <v>0</v>
      </c>
      <c r="Q57" s="17">
        <f t="shared" si="1"/>
        <v>0</v>
      </c>
      <c r="R57">
        <f t="shared" si="2"/>
        <v>0</v>
      </c>
      <c r="S57">
        <f t="shared" si="3"/>
        <v>0</v>
      </c>
      <c r="T57" s="1" t="e">
        <f t="shared" si="4"/>
        <v>#DIV/0!</v>
      </c>
      <c r="U57" s="23" t="e">
        <f t="shared" si="5"/>
        <v>#DIV/0!</v>
      </c>
    </row>
  </sheetData>
  <sheetProtection insertRow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B3E69-5401-4222-ADE3-4AADFBF96013}">
  <dimension ref="A1:Y57"/>
  <sheetViews>
    <sheetView showGridLines="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F12" sqref="F12"/>
    </sheetView>
  </sheetViews>
  <sheetFormatPr baseColWidth="10" defaultColWidth="11.5" defaultRowHeight="15" x14ac:dyDescent="0.2"/>
  <cols>
    <col min="1" max="1" width="6.1640625" customWidth="1"/>
    <col min="2" max="2" width="9.33203125" customWidth="1"/>
    <col min="3" max="3" width="21.33203125" style="6" customWidth="1"/>
    <col min="4" max="4" width="16.33203125" style="6" customWidth="1"/>
    <col min="5" max="5" width="21.83203125" style="6" customWidth="1"/>
    <col min="6" max="6" width="24.5" style="6" customWidth="1"/>
    <col min="7" max="7" width="18.83203125" style="19" customWidth="1"/>
    <col min="8" max="8" width="14.6640625" customWidth="1"/>
    <col min="9" max="9" width="20.5" customWidth="1"/>
    <col min="11" max="11" width="13.6640625" style="6" bestFit="1" customWidth="1"/>
    <col min="12" max="12" width="15.33203125" customWidth="1"/>
    <col min="13" max="13" width="21.1640625" customWidth="1"/>
    <col min="14" max="14" width="19.6640625" customWidth="1"/>
    <col min="15" max="15" width="11.5" style="7"/>
    <col min="16" max="16" width="20.83203125" style="6" customWidth="1"/>
    <col min="17" max="17" width="30.33203125" style="7" customWidth="1"/>
    <col min="18" max="18" width="22.1640625" customWidth="1"/>
    <col min="19" max="19" width="23.33203125" customWidth="1"/>
    <col min="20" max="20" width="14.5" customWidth="1"/>
    <col min="21" max="21" width="17" customWidth="1"/>
    <col min="23" max="23" width="14" bestFit="1" customWidth="1"/>
    <col min="24" max="24" width="15" bestFit="1" customWidth="1"/>
    <col min="25" max="25" width="13.83203125" bestFit="1" customWidth="1"/>
  </cols>
  <sheetData>
    <row r="1" spans="1:25" s="4" customFormat="1" x14ac:dyDescent="0.2">
      <c r="A1" s="4" t="s">
        <v>0</v>
      </c>
      <c r="B1" s="4" t="s">
        <v>24</v>
      </c>
      <c r="C1" s="12" t="s">
        <v>1</v>
      </c>
      <c r="D1" s="12" t="s">
        <v>2</v>
      </c>
      <c r="E1" s="12" t="s">
        <v>3</v>
      </c>
      <c r="F1" s="12" t="s">
        <v>4</v>
      </c>
      <c r="G1" s="18" t="s">
        <v>5</v>
      </c>
      <c r="H1" s="12" t="s">
        <v>6</v>
      </c>
      <c r="I1" s="14" t="s">
        <v>7</v>
      </c>
      <c r="J1" s="13" t="s">
        <v>8</v>
      </c>
      <c r="K1" s="12" t="s">
        <v>9</v>
      </c>
      <c r="L1" s="13" t="s">
        <v>10</v>
      </c>
      <c r="M1" s="4" t="s">
        <v>11</v>
      </c>
      <c r="N1" s="4" t="s">
        <v>12</v>
      </c>
      <c r="O1" s="15" t="s">
        <v>13</v>
      </c>
      <c r="P1" s="14" t="s">
        <v>14</v>
      </c>
      <c r="Q1" s="15" t="s">
        <v>15</v>
      </c>
      <c r="R1" s="13" t="s">
        <v>16</v>
      </c>
      <c r="S1" s="13" t="s">
        <v>17</v>
      </c>
      <c r="T1" s="13" t="s">
        <v>18</v>
      </c>
      <c r="U1" s="13" t="s">
        <v>19</v>
      </c>
    </row>
    <row r="2" spans="1:25" x14ac:dyDescent="0.2">
      <c r="A2" s="16" t="s">
        <v>20</v>
      </c>
      <c r="B2">
        <v>1</v>
      </c>
      <c r="C2" s="5">
        <v>518581</v>
      </c>
      <c r="D2" s="5">
        <v>4675590</v>
      </c>
      <c r="E2" s="5">
        <v>237461</v>
      </c>
      <c r="F2" s="5">
        <v>0</v>
      </c>
      <c r="G2" s="17">
        <f>IFERROR(C2/E2,0)</f>
        <v>2.1838575597677092</v>
      </c>
      <c r="H2" s="5">
        <v>0</v>
      </c>
      <c r="I2" s="17">
        <f>IFERROR(F2/H2,0)</f>
        <v>0</v>
      </c>
      <c r="J2" s="17">
        <f>IFERROR(D2/C2,0)</f>
        <v>9.0161228429117148</v>
      </c>
      <c r="K2" s="5">
        <v>29199048</v>
      </c>
      <c r="L2" s="17">
        <f>IFERROR(D2/K2,0)</f>
        <v>0.16012816582239256</v>
      </c>
      <c r="M2" s="8">
        <v>2807</v>
      </c>
      <c r="N2" s="8">
        <v>2822</v>
      </c>
      <c r="O2" s="22">
        <f>IFERROR(N2/M2,0)</f>
        <v>1.0053437833986463</v>
      </c>
      <c r="P2" s="17">
        <f t="shared" ref="P2:P57" si="0">SUMIFS(C:C,A:A,A2,B:B,B2)</f>
        <v>709745</v>
      </c>
      <c r="Q2" s="17">
        <f t="shared" ref="Q2:Q57" si="1">SUMIFS(M:M,A:A,A2,B:B,B2)</f>
        <v>4137</v>
      </c>
      <c r="R2">
        <f t="shared" ref="R2:R57" si="2">M2-N2</f>
        <v>-15</v>
      </c>
      <c r="S2">
        <f t="shared" ref="S2:S57" si="3">SUMIFS(R:R,A:A,A2,B:B,B2)</f>
        <v>-174</v>
      </c>
      <c r="T2" s="1">
        <f t="shared" ref="T2:T57" si="4">(P2/Q2)*S2</f>
        <v>-29851.493836113128</v>
      </c>
      <c r="U2" s="23">
        <f t="shared" ref="U2:U57" si="5">T2*J2</f>
        <v>-269144.73547081783</v>
      </c>
      <c r="W2" s="2"/>
      <c r="X2" s="1"/>
    </row>
    <row r="3" spans="1:25" x14ac:dyDescent="0.2">
      <c r="A3" s="9" t="s">
        <v>20</v>
      </c>
      <c r="B3">
        <v>1</v>
      </c>
      <c r="C3" s="5">
        <v>191164</v>
      </c>
      <c r="D3" s="5">
        <v>1963962</v>
      </c>
      <c r="E3" s="5">
        <v>91748</v>
      </c>
      <c r="F3" s="5">
        <v>0</v>
      </c>
      <c r="G3" s="17">
        <f t="shared" ref="G3:G57" si="6">IFERROR(C3/E3,0)</f>
        <v>2.0835767537167023</v>
      </c>
      <c r="H3" s="5">
        <v>0</v>
      </c>
      <c r="I3" s="17">
        <f t="shared" ref="I3:I57" si="7">IFERROR(F3/H3,0)</f>
        <v>0</v>
      </c>
      <c r="J3" s="17">
        <f t="shared" ref="J3:J57" si="8">IFERROR(D3/C3,0)</f>
        <v>10.273702161494842</v>
      </c>
      <c r="K3" s="5">
        <v>12666882</v>
      </c>
      <c r="L3" s="17">
        <f t="shared" ref="L3:L57" si="9">IFERROR(D3/K3,0)</f>
        <v>0.1550469957800191</v>
      </c>
      <c r="M3" s="9">
        <v>1330</v>
      </c>
      <c r="N3" s="9">
        <v>1489</v>
      </c>
      <c r="O3" s="22">
        <f t="shared" ref="O3:O57" si="10">IFERROR(N3/M3,0)</f>
        <v>1.1195488721804512</v>
      </c>
      <c r="P3" s="17">
        <f t="shared" si="0"/>
        <v>709745</v>
      </c>
      <c r="Q3" s="17">
        <f t="shared" si="1"/>
        <v>4137</v>
      </c>
      <c r="R3">
        <f t="shared" si="2"/>
        <v>-159</v>
      </c>
      <c r="S3">
        <f t="shared" si="3"/>
        <v>-174</v>
      </c>
      <c r="T3" s="1">
        <f t="shared" si="4"/>
        <v>-29851.493836113128</v>
      </c>
      <c r="U3" s="23">
        <f t="shared" si="5"/>
        <v>-306685.3567479254</v>
      </c>
      <c r="X3" s="1"/>
      <c r="Y3" s="1"/>
    </row>
    <row r="4" spans="1:25" x14ac:dyDescent="0.2">
      <c r="A4" s="9" t="s">
        <v>20</v>
      </c>
      <c r="B4">
        <v>2</v>
      </c>
      <c r="C4" s="5">
        <v>234290</v>
      </c>
      <c r="D4" s="5">
        <v>2130173.96</v>
      </c>
      <c r="E4" s="5">
        <v>108021</v>
      </c>
      <c r="F4" s="5">
        <v>0</v>
      </c>
      <c r="G4" s="17">
        <f t="shared" si="6"/>
        <v>2.1689301154405163</v>
      </c>
      <c r="H4" s="5">
        <v>0</v>
      </c>
      <c r="I4" s="17">
        <f t="shared" si="7"/>
        <v>0</v>
      </c>
      <c r="J4" s="17">
        <f t="shared" si="8"/>
        <v>9.0920396090315414</v>
      </c>
      <c r="K4" s="6">
        <v>4777371.2</v>
      </c>
      <c r="L4" s="17">
        <f t="shared" si="9"/>
        <v>0.44588830777897265</v>
      </c>
      <c r="M4" s="9">
        <v>510</v>
      </c>
      <c r="N4" s="9">
        <v>470</v>
      </c>
      <c r="O4" s="22">
        <f t="shared" si="10"/>
        <v>0.92156862745098034</v>
      </c>
      <c r="P4" s="17">
        <f t="shared" si="0"/>
        <v>234290</v>
      </c>
      <c r="Q4" s="17">
        <f t="shared" si="1"/>
        <v>510</v>
      </c>
      <c r="R4">
        <f t="shared" si="2"/>
        <v>40</v>
      </c>
      <c r="S4">
        <f t="shared" si="3"/>
        <v>40</v>
      </c>
      <c r="T4" s="1">
        <f t="shared" si="4"/>
        <v>18375.686274509804</v>
      </c>
      <c r="U4" s="23">
        <f t="shared" si="5"/>
        <v>167072.46745098039</v>
      </c>
    </row>
    <row r="5" spans="1:25" x14ac:dyDescent="0.2">
      <c r="A5" s="9" t="s">
        <v>20</v>
      </c>
      <c r="B5">
        <v>3</v>
      </c>
      <c r="C5" s="5">
        <v>81205</v>
      </c>
      <c r="D5" s="5">
        <v>1164744.48</v>
      </c>
      <c r="E5" s="5">
        <v>29058.68</v>
      </c>
      <c r="F5" s="5">
        <v>22233.42</v>
      </c>
      <c r="G5" s="17">
        <f t="shared" si="6"/>
        <v>2.7945178514646916</v>
      </c>
      <c r="H5" s="5">
        <v>2085</v>
      </c>
      <c r="I5" s="17">
        <f t="shared" si="7"/>
        <v>10.663510791366905</v>
      </c>
      <c r="J5" s="17">
        <f t="shared" si="8"/>
        <v>14.343260636660304</v>
      </c>
      <c r="K5" s="5">
        <v>2252448.0099999998</v>
      </c>
      <c r="L5" s="17">
        <f t="shared" si="9"/>
        <v>0.51710160448941955</v>
      </c>
      <c r="M5" s="8">
        <v>217</v>
      </c>
      <c r="N5" s="8">
        <v>184</v>
      </c>
      <c r="O5" s="22">
        <f t="shared" si="10"/>
        <v>0.84792626728110598</v>
      </c>
      <c r="P5" s="17">
        <f t="shared" si="0"/>
        <v>81205</v>
      </c>
      <c r="Q5" s="17">
        <f t="shared" si="1"/>
        <v>217</v>
      </c>
      <c r="R5">
        <f t="shared" si="2"/>
        <v>33</v>
      </c>
      <c r="S5">
        <f t="shared" si="3"/>
        <v>33</v>
      </c>
      <c r="T5" s="1">
        <f t="shared" si="4"/>
        <v>12349.147465437789</v>
      </c>
      <c r="U5" s="23">
        <f t="shared" si="5"/>
        <v>177127.04073732719</v>
      </c>
    </row>
    <row r="6" spans="1:25" x14ac:dyDescent="0.2">
      <c r="A6" s="9" t="s">
        <v>20</v>
      </c>
      <c r="B6">
        <v>4</v>
      </c>
      <c r="C6" s="5">
        <v>196074.69000000003</v>
      </c>
      <c r="D6" s="5">
        <v>2456012.41</v>
      </c>
      <c r="E6" s="5">
        <v>96567.76999999999</v>
      </c>
      <c r="F6" s="6">
        <v>0</v>
      </c>
      <c r="G6" s="17">
        <f t="shared" si="6"/>
        <v>2.0304361382684935</v>
      </c>
      <c r="H6" s="5">
        <v>0</v>
      </c>
      <c r="I6" s="17">
        <f t="shared" si="7"/>
        <v>0</v>
      </c>
      <c r="J6" s="17">
        <f t="shared" si="8"/>
        <v>12.525902297741743</v>
      </c>
      <c r="K6" s="5">
        <v>6995440.6000000006</v>
      </c>
      <c r="L6" s="17">
        <f t="shared" si="9"/>
        <v>0.35108759411094131</v>
      </c>
      <c r="M6" s="9">
        <v>883</v>
      </c>
      <c r="N6" s="9">
        <v>825</v>
      </c>
      <c r="O6" s="22">
        <f t="shared" si="10"/>
        <v>0.93431483578708951</v>
      </c>
      <c r="P6" s="17">
        <f t="shared" si="0"/>
        <v>212180.08000000002</v>
      </c>
      <c r="Q6" s="17">
        <f t="shared" si="1"/>
        <v>1023</v>
      </c>
      <c r="R6">
        <f t="shared" si="2"/>
        <v>58</v>
      </c>
      <c r="S6">
        <f t="shared" si="3"/>
        <v>58</v>
      </c>
      <c r="T6" s="1">
        <f t="shared" si="4"/>
        <v>12029.760156402739</v>
      </c>
      <c r="U6" s="23">
        <f t="shared" si="5"/>
        <v>150683.60038436714</v>
      </c>
    </row>
    <row r="7" spans="1:25" x14ac:dyDescent="0.2">
      <c r="A7" s="9" t="s">
        <v>20</v>
      </c>
      <c r="B7">
        <v>4</v>
      </c>
      <c r="C7" s="5">
        <v>16105.39</v>
      </c>
      <c r="D7" s="5">
        <v>218436.59000000003</v>
      </c>
      <c r="E7" s="5">
        <v>17112.719999999998</v>
      </c>
      <c r="F7" s="6">
        <v>0</v>
      </c>
      <c r="G7" s="17">
        <f t="shared" si="6"/>
        <v>0.94113559971763705</v>
      </c>
      <c r="H7" s="5">
        <v>0</v>
      </c>
      <c r="I7" s="17">
        <f t="shared" si="7"/>
        <v>0</v>
      </c>
      <c r="J7" s="17">
        <f t="shared" si="8"/>
        <v>13.562949422522523</v>
      </c>
      <c r="K7" s="5">
        <v>871986.62</v>
      </c>
      <c r="L7" s="17">
        <f t="shared" si="9"/>
        <v>0.2505045203560578</v>
      </c>
      <c r="M7" s="9">
        <v>140</v>
      </c>
      <c r="N7" s="9">
        <v>140</v>
      </c>
      <c r="O7" s="22">
        <f t="shared" si="10"/>
        <v>1</v>
      </c>
      <c r="P7" s="17">
        <f t="shared" si="0"/>
        <v>212180.08000000002</v>
      </c>
      <c r="Q7" s="17">
        <f t="shared" si="1"/>
        <v>1023</v>
      </c>
      <c r="R7">
        <f t="shared" si="2"/>
        <v>0</v>
      </c>
      <c r="S7">
        <f t="shared" si="3"/>
        <v>58</v>
      </c>
      <c r="T7" s="1">
        <f t="shared" si="4"/>
        <v>12029.760156402739</v>
      </c>
      <c r="U7" s="23">
        <f t="shared" si="5"/>
        <v>163159.02856636699</v>
      </c>
    </row>
    <row r="8" spans="1:25" x14ac:dyDescent="0.2">
      <c r="A8" s="9" t="s">
        <v>20</v>
      </c>
      <c r="B8">
        <v>5</v>
      </c>
      <c r="C8" s="5">
        <v>280385</v>
      </c>
      <c r="D8" s="5">
        <v>3254939.1500000004</v>
      </c>
      <c r="E8" s="5">
        <v>135957</v>
      </c>
      <c r="F8" s="6">
        <v>0</v>
      </c>
      <c r="G8" s="17">
        <f t="shared" si="6"/>
        <v>2.0623064645439366</v>
      </c>
      <c r="H8" s="5">
        <v>0</v>
      </c>
      <c r="I8" s="17">
        <f t="shared" si="7"/>
        <v>0</v>
      </c>
      <c r="J8" s="17">
        <f t="shared" si="8"/>
        <v>11.608820550314746</v>
      </c>
      <c r="K8" s="5">
        <v>8349107.25</v>
      </c>
      <c r="L8" s="17">
        <f t="shared" si="9"/>
        <v>0.38985475363249172</v>
      </c>
      <c r="M8" s="9">
        <v>986</v>
      </c>
      <c r="N8" s="9">
        <v>828</v>
      </c>
      <c r="O8" s="22">
        <f t="shared" si="10"/>
        <v>0.83975659229208921</v>
      </c>
      <c r="P8" s="17">
        <f t="shared" si="0"/>
        <v>363261</v>
      </c>
      <c r="Q8" s="17">
        <f t="shared" si="1"/>
        <v>1275</v>
      </c>
      <c r="R8">
        <f t="shared" si="2"/>
        <v>158</v>
      </c>
      <c r="S8">
        <f t="shared" si="3"/>
        <v>158</v>
      </c>
      <c r="T8" s="1">
        <f t="shared" si="4"/>
        <v>45015.872941176473</v>
      </c>
      <c r="U8" s="23">
        <f t="shared" si="5"/>
        <v>522581.19088988693</v>
      </c>
    </row>
    <row r="9" spans="1:25" x14ac:dyDescent="0.2">
      <c r="A9" s="9" t="s">
        <v>20</v>
      </c>
      <c r="B9">
        <v>5</v>
      </c>
      <c r="C9" s="5">
        <v>59110</v>
      </c>
      <c r="D9" s="5">
        <v>508177.74</v>
      </c>
      <c r="E9" s="5">
        <v>20538</v>
      </c>
      <c r="F9" s="6">
        <v>0</v>
      </c>
      <c r="G9" s="17">
        <f t="shared" si="6"/>
        <v>2.8780796572207614</v>
      </c>
      <c r="H9" s="5">
        <v>0</v>
      </c>
      <c r="I9" s="17">
        <f t="shared" si="7"/>
        <v>0</v>
      </c>
      <c r="J9" s="17">
        <f t="shared" si="8"/>
        <v>8.5971534427338856</v>
      </c>
      <c r="K9" s="6">
        <v>1961648.56</v>
      </c>
      <c r="L9" s="17">
        <f t="shared" si="9"/>
        <v>0.25905646422211326</v>
      </c>
      <c r="M9" s="9">
        <v>272</v>
      </c>
      <c r="N9" s="9">
        <v>272</v>
      </c>
      <c r="O9" s="22">
        <f t="shared" si="10"/>
        <v>1</v>
      </c>
      <c r="P9" s="17">
        <f t="shared" si="0"/>
        <v>363261</v>
      </c>
      <c r="Q9" s="17">
        <f t="shared" si="1"/>
        <v>1275</v>
      </c>
      <c r="R9">
        <f t="shared" si="2"/>
        <v>0</v>
      </c>
      <c r="S9">
        <f t="shared" si="3"/>
        <v>158</v>
      </c>
      <c r="T9" s="1">
        <f t="shared" si="4"/>
        <v>45015.872941176473</v>
      </c>
      <c r="U9" s="23">
        <f t="shared" si="5"/>
        <v>387008.36703390646</v>
      </c>
    </row>
    <row r="10" spans="1:25" x14ac:dyDescent="0.2">
      <c r="A10" s="9" t="s">
        <v>20</v>
      </c>
      <c r="B10">
        <v>5</v>
      </c>
      <c r="C10" s="5">
        <v>11433</v>
      </c>
      <c r="D10" s="5">
        <v>126898.57</v>
      </c>
      <c r="E10" s="5">
        <v>4085</v>
      </c>
      <c r="F10" s="5">
        <v>1537</v>
      </c>
      <c r="G10" s="17">
        <f t="shared" si="6"/>
        <v>2.7987760097919216</v>
      </c>
      <c r="H10" s="9">
        <v>399</v>
      </c>
      <c r="I10" s="17">
        <f t="shared" si="7"/>
        <v>3.8521303258145365</v>
      </c>
      <c r="J10" s="17">
        <f t="shared" si="8"/>
        <v>11.09932388699379</v>
      </c>
      <c r="K10" s="5">
        <v>434000</v>
      </c>
      <c r="L10" s="17">
        <f t="shared" si="9"/>
        <v>0.29239301843317972</v>
      </c>
      <c r="M10" s="9">
        <v>7</v>
      </c>
      <c r="N10" s="9">
        <v>7</v>
      </c>
      <c r="O10" s="22">
        <f t="shared" si="10"/>
        <v>1</v>
      </c>
      <c r="P10" s="17">
        <f t="shared" si="0"/>
        <v>363261</v>
      </c>
      <c r="Q10" s="17">
        <f t="shared" si="1"/>
        <v>1275</v>
      </c>
      <c r="R10">
        <f t="shared" si="2"/>
        <v>0</v>
      </c>
      <c r="S10">
        <f t="shared" si="3"/>
        <v>158</v>
      </c>
      <c r="T10" s="1">
        <f t="shared" si="4"/>
        <v>45015.872941176473</v>
      </c>
      <c r="U10" s="23">
        <f t="shared" si="5"/>
        <v>499645.75382987742</v>
      </c>
    </row>
    <row r="11" spans="1:25" x14ac:dyDescent="0.2">
      <c r="A11" s="9" t="s">
        <v>20</v>
      </c>
      <c r="B11">
        <v>5</v>
      </c>
      <c r="C11" s="6">
        <v>12333</v>
      </c>
      <c r="D11" s="6">
        <v>0</v>
      </c>
      <c r="E11" s="6">
        <v>0</v>
      </c>
      <c r="F11" s="6">
        <v>0</v>
      </c>
      <c r="G11" s="17">
        <f t="shared" si="6"/>
        <v>0</v>
      </c>
      <c r="H11" s="6">
        <v>0</v>
      </c>
      <c r="I11" s="17">
        <f t="shared" si="7"/>
        <v>0</v>
      </c>
      <c r="J11" s="17">
        <f t="shared" si="8"/>
        <v>0</v>
      </c>
      <c r="K11" s="6">
        <v>0</v>
      </c>
      <c r="L11" s="17">
        <f t="shared" si="9"/>
        <v>0</v>
      </c>
      <c r="M11" s="9">
        <v>10</v>
      </c>
      <c r="N11" s="9">
        <v>10</v>
      </c>
      <c r="O11" s="22">
        <f t="shared" si="10"/>
        <v>1</v>
      </c>
      <c r="P11" s="17">
        <f t="shared" si="0"/>
        <v>363261</v>
      </c>
      <c r="Q11" s="17">
        <f t="shared" si="1"/>
        <v>1275</v>
      </c>
      <c r="R11">
        <f t="shared" si="2"/>
        <v>0</v>
      </c>
      <c r="S11">
        <f t="shared" si="3"/>
        <v>158</v>
      </c>
      <c r="T11" s="1">
        <f t="shared" si="4"/>
        <v>45015.872941176473</v>
      </c>
      <c r="U11" s="23">
        <f t="shared" si="5"/>
        <v>0</v>
      </c>
    </row>
    <row r="12" spans="1:25" x14ac:dyDescent="0.2">
      <c r="A12" s="9" t="s">
        <v>20</v>
      </c>
      <c r="B12">
        <v>6</v>
      </c>
      <c r="C12" s="5">
        <v>149883</v>
      </c>
      <c r="D12" s="5">
        <v>2035556.39</v>
      </c>
      <c r="E12" s="5">
        <v>76005.53</v>
      </c>
      <c r="F12" s="6">
        <v>0</v>
      </c>
      <c r="G12" s="17">
        <f t="shared" si="6"/>
        <v>1.9720012478039428</v>
      </c>
      <c r="H12" s="6">
        <v>0</v>
      </c>
      <c r="I12" s="17">
        <f t="shared" si="7"/>
        <v>0</v>
      </c>
      <c r="J12" s="17">
        <f t="shared" si="8"/>
        <v>13.580969089222927</v>
      </c>
      <c r="K12" s="6">
        <v>4952499.59</v>
      </c>
      <c r="L12" s="17">
        <f t="shared" si="9"/>
        <v>0.4110159633551832</v>
      </c>
      <c r="M12" s="9">
        <v>442</v>
      </c>
      <c r="N12" s="9">
        <v>436</v>
      </c>
      <c r="O12" s="22">
        <f t="shared" si="10"/>
        <v>0.98642533936651589</v>
      </c>
      <c r="P12" s="17">
        <f t="shared" si="0"/>
        <v>158396</v>
      </c>
      <c r="Q12" s="17">
        <f t="shared" si="1"/>
        <v>491</v>
      </c>
      <c r="R12">
        <f t="shared" si="2"/>
        <v>6</v>
      </c>
      <c r="S12">
        <f t="shared" si="3"/>
        <v>6</v>
      </c>
      <c r="T12" s="1">
        <f t="shared" si="4"/>
        <v>1935.5926680244399</v>
      </c>
      <c r="U12" s="23">
        <f t="shared" si="5"/>
        <v>26287.224193766455</v>
      </c>
    </row>
    <row r="13" spans="1:25" x14ac:dyDescent="0.2">
      <c r="A13" s="9" t="s">
        <v>20</v>
      </c>
      <c r="B13">
        <v>6</v>
      </c>
      <c r="C13" s="5">
        <v>1568</v>
      </c>
      <c r="D13" s="5">
        <v>14914.41</v>
      </c>
      <c r="E13" s="5">
        <v>593</v>
      </c>
      <c r="F13" s="6">
        <v>0</v>
      </c>
      <c r="G13" s="17">
        <f t="shared" si="6"/>
        <v>2.6441821247892072</v>
      </c>
      <c r="H13" s="6">
        <v>0</v>
      </c>
      <c r="I13" s="17">
        <f t="shared" si="7"/>
        <v>0</v>
      </c>
      <c r="J13" s="17">
        <f t="shared" si="8"/>
        <v>9.5117410714285722</v>
      </c>
      <c r="K13" s="6">
        <v>68000</v>
      </c>
      <c r="L13" s="17">
        <f t="shared" si="9"/>
        <v>0.21932955882352942</v>
      </c>
      <c r="M13" s="9">
        <v>11</v>
      </c>
      <c r="N13" s="9">
        <v>11</v>
      </c>
      <c r="O13" s="22">
        <f t="shared" si="10"/>
        <v>1</v>
      </c>
      <c r="P13" s="17">
        <f t="shared" si="0"/>
        <v>158396</v>
      </c>
      <c r="Q13" s="17">
        <f t="shared" si="1"/>
        <v>491</v>
      </c>
      <c r="R13">
        <f t="shared" si="2"/>
        <v>0</v>
      </c>
      <c r="S13">
        <f t="shared" si="3"/>
        <v>6</v>
      </c>
      <c r="T13" s="1">
        <f t="shared" si="4"/>
        <v>1935.5926680244399</v>
      </c>
      <c r="U13" s="23">
        <f t="shared" si="5"/>
        <v>18410.856278004074</v>
      </c>
    </row>
    <row r="14" spans="1:25" x14ac:dyDescent="0.2">
      <c r="A14" s="9" t="s">
        <v>20</v>
      </c>
      <c r="B14">
        <v>6</v>
      </c>
      <c r="C14" s="5">
        <v>6945</v>
      </c>
      <c r="D14" s="5">
        <v>11125.85</v>
      </c>
      <c r="E14" s="5">
        <v>668</v>
      </c>
      <c r="F14" s="6">
        <v>0</v>
      </c>
      <c r="G14" s="17">
        <f t="shared" si="6"/>
        <v>10.396706586826348</v>
      </c>
      <c r="H14" s="6">
        <v>0</v>
      </c>
      <c r="I14" s="17">
        <f t="shared" si="7"/>
        <v>0</v>
      </c>
      <c r="J14" s="17">
        <f t="shared" si="8"/>
        <v>1.6019942404607632</v>
      </c>
      <c r="K14" s="6">
        <v>429388.33999999997</v>
      </c>
      <c r="L14" s="17">
        <f t="shared" si="9"/>
        <v>2.591092715745379E-2</v>
      </c>
      <c r="M14" s="9">
        <v>38</v>
      </c>
      <c r="N14" s="9">
        <v>38</v>
      </c>
      <c r="O14" s="22">
        <f t="shared" si="10"/>
        <v>1</v>
      </c>
      <c r="P14" s="17">
        <f t="shared" si="0"/>
        <v>158396</v>
      </c>
      <c r="Q14" s="17">
        <f t="shared" si="1"/>
        <v>491</v>
      </c>
      <c r="R14">
        <f t="shared" si="2"/>
        <v>0</v>
      </c>
      <c r="S14">
        <f t="shared" si="3"/>
        <v>6</v>
      </c>
      <c r="T14" s="1">
        <f t="shared" si="4"/>
        <v>1935.5926680244399</v>
      </c>
      <c r="U14" s="23">
        <f t="shared" si="5"/>
        <v>3100.8083060532349</v>
      </c>
    </row>
    <row r="15" spans="1:25" x14ac:dyDescent="0.2">
      <c r="A15" s="9" t="s">
        <v>20</v>
      </c>
      <c r="B15">
        <v>7</v>
      </c>
      <c r="C15" s="5">
        <v>51434</v>
      </c>
      <c r="D15" s="5">
        <v>507940.88</v>
      </c>
      <c r="E15" s="5">
        <v>19896</v>
      </c>
      <c r="F15" s="5">
        <v>13473</v>
      </c>
      <c r="G15" s="17">
        <f t="shared" si="6"/>
        <v>2.5851427422597508</v>
      </c>
      <c r="H15" s="6">
        <v>0</v>
      </c>
      <c r="I15" s="17">
        <f t="shared" si="7"/>
        <v>0</v>
      </c>
      <c r="J15" s="17">
        <f t="shared" si="8"/>
        <v>9.8755857992767435</v>
      </c>
      <c r="K15" s="6">
        <v>2105668.2400000002</v>
      </c>
      <c r="L15" s="17">
        <f t="shared" si="9"/>
        <v>0.24122550283609728</v>
      </c>
      <c r="M15" s="9">
        <v>170</v>
      </c>
      <c r="N15" s="9">
        <v>170</v>
      </c>
      <c r="O15" s="22">
        <f t="shared" si="10"/>
        <v>1</v>
      </c>
      <c r="P15" s="17">
        <f t="shared" si="0"/>
        <v>51434</v>
      </c>
      <c r="Q15" s="17">
        <f t="shared" si="1"/>
        <v>170</v>
      </c>
      <c r="R15">
        <f t="shared" si="2"/>
        <v>0</v>
      </c>
      <c r="S15">
        <f t="shared" si="3"/>
        <v>0</v>
      </c>
      <c r="T15" s="1">
        <f t="shared" si="4"/>
        <v>0</v>
      </c>
      <c r="U15" s="23">
        <f t="shared" si="5"/>
        <v>0</v>
      </c>
    </row>
    <row r="16" spans="1:25" x14ac:dyDescent="0.2">
      <c r="A16" s="9" t="s">
        <v>21</v>
      </c>
      <c r="B16">
        <v>1</v>
      </c>
      <c r="C16" s="11">
        <v>481622</v>
      </c>
      <c r="D16" s="11">
        <v>4493930.4800000004</v>
      </c>
      <c r="E16" s="11">
        <v>227887</v>
      </c>
      <c r="F16" s="6">
        <v>0</v>
      </c>
      <c r="G16" s="17">
        <f t="shared" si="6"/>
        <v>2.1134246358941056</v>
      </c>
      <c r="H16" s="6">
        <v>0</v>
      </c>
      <c r="I16" s="17">
        <f t="shared" si="7"/>
        <v>0</v>
      </c>
      <c r="J16" s="17">
        <f t="shared" si="8"/>
        <v>9.3308247546831335</v>
      </c>
      <c r="K16" s="6">
        <v>27017160</v>
      </c>
      <c r="L16" s="17">
        <f t="shared" si="9"/>
        <v>0.16633615376301583</v>
      </c>
      <c r="M16" s="10">
        <v>2689</v>
      </c>
      <c r="N16" s="10">
        <v>2694</v>
      </c>
      <c r="O16" s="22">
        <f t="shared" si="10"/>
        <v>1.0018594272963928</v>
      </c>
      <c r="P16" s="17">
        <f t="shared" si="0"/>
        <v>673679</v>
      </c>
      <c r="Q16" s="17">
        <f t="shared" si="1"/>
        <v>4026</v>
      </c>
      <c r="R16">
        <f t="shared" si="2"/>
        <v>-5</v>
      </c>
      <c r="S16">
        <f t="shared" si="3"/>
        <v>-114</v>
      </c>
      <c r="T16" s="1">
        <f t="shared" si="4"/>
        <v>-19075.858420268254</v>
      </c>
      <c r="U16" s="23">
        <f t="shared" si="5"/>
        <v>-177993.49196466972</v>
      </c>
    </row>
    <row r="17" spans="1:21" x14ac:dyDescent="0.2">
      <c r="A17" s="9" t="s">
        <v>21</v>
      </c>
      <c r="B17">
        <v>1</v>
      </c>
      <c r="C17" s="11">
        <v>192057</v>
      </c>
      <c r="D17" s="11">
        <v>2032067</v>
      </c>
      <c r="E17" s="11">
        <v>93923</v>
      </c>
      <c r="F17" s="6">
        <v>0</v>
      </c>
      <c r="G17" s="17">
        <f t="shared" si="6"/>
        <v>2.044834598554135</v>
      </c>
      <c r="H17" s="6">
        <v>0</v>
      </c>
      <c r="I17" s="17">
        <f t="shared" si="7"/>
        <v>0</v>
      </c>
      <c r="J17" s="17">
        <f t="shared" si="8"/>
        <v>10.580541193499846</v>
      </c>
      <c r="K17" s="6">
        <v>12392015</v>
      </c>
      <c r="L17" s="17">
        <f t="shared" si="9"/>
        <v>0.16398196742014917</v>
      </c>
      <c r="M17" s="10">
        <v>1337</v>
      </c>
      <c r="N17" s="10">
        <v>1446</v>
      </c>
      <c r="O17" s="22">
        <f t="shared" si="10"/>
        <v>1.0815258040388931</v>
      </c>
      <c r="P17" s="17">
        <f t="shared" si="0"/>
        <v>673679</v>
      </c>
      <c r="Q17" s="17">
        <f t="shared" si="1"/>
        <v>4026</v>
      </c>
      <c r="R17">
        <f t="shared" si="2"/>
        <v>-109</v>
      </c>
      <c r="S17">
        <f t="shared" si="3"/>
        <v>-114</v>
      </c>
      <c r="T17" s="1">
        <f t="shared" si="4"/>
        <v>-19075.858420268254</v>
      </c>
      <c r="U17" s="23">
        <f t="shared" si="5"/>
        <v>-201832.90581701914</v>
      </c>
    </row>
    <row r="18" spans="1:21" x14ac:dyDescent="0.2">
      <c r="A18" s="9" t="s">
        <v>21</v>
      </c>
      <c r="B18">
        <v>2</v>
      </c>
      <c r="C18" s="11">
        <v>263528</v>
      </c>
      <c r="D18" s="11">
        <v>2182643.73</v>
      </c>
      <c r="E18" s="11">
        <v>110679</v>
      </c>
      <c r="F18" s="6">
        <v>0</v>
      </c>
      <c r="G18" s="17">
        <f t="shared" si="6"/>
        <v>2.3810117547140832</v>
      </c>
      <c r="H18" s="6">
        <v>0</v>
      </c>
      <c r="I18" s="17">
        <f t="shared" si="7"/>
        <v>0</v>
      </c>
      <c r="J18" s="17">
        <f t="shared" si="8"/>
        <v>8.2823978097204094</v>
      </c>
      <c r="K18" s="6">
        <v>6238043.9400000004</v>
      </c>
      <c r="L18" s="17">
        <f t="shared" si="9"/>
        <v>0.34989233019092836</v>
      </c>
      <c r="M18" s="10">
        <v>539</v>
      </c>
      <c r="N18" s="10">
        <v>505</v>
      </c>
      <c r="O18" s="22">
        <f t="shared" si="10"/>
        <v>0.93692022263450836</v>
      </c>
      <c r="P18" s="17">
        <f t="shared" si="0"/>
        <v>263528</v>
      </c>
      <c r="Q18" s="17">
        <f t="shared" si="1"/>
        <v>539</v>
      </c>
      <c r="R18">
        <f t="shared" si="2"/>
        <v>34</v>
      </c>
      <c r="S18">
        <f t="shared" si="3"/>
        <v>34</v>
      </c>
      <c r="T18" s="1">
        <f t="shared" si="4"/>
        <v>16623.287569573284</v>
      </c>
      <c r="U18" s="23">
        <f t="shared" si="5"/>
        <v>137680.68055658627</v>
      </c>
    </row>
    <row r="19" spans="1:21" x14ac:dyDescent="0.2">
      <c r="A19" s="9" t="s">
        <v>21</v>
      </c>
      <c r="B19">
        <v>3</v>
      </c>
      <c r="C19" s="11">
        <v>147157</v>
      </c>
      <c r="D19" s="11">
        <v>1747584.58</v>
      </c>
      <c r="E19" s="11">
        <v>78468</v>
      </c>
      <c r="F19" s="6">
        <v>0</v>
      </c>
      <c r="G19" s="17">
        <f t="shared" si="6"/>
        <v>1.8753759494316153</v>
      </c>
      <c r="H19" s="6">
        <v>0</v>
      </c>
      <c r="I19" s="17">
        <f t="shared" si="7"/>
        <v>0</v>
      </c>
      <c r="J19" s="17">
        <f t="shared" si="8"/>
        <v>11.87564696208811</v>
      </c>
      <c r="K19" s="6">
        <v>4564425.9800000004</v>
      </c>
      <c r="L19" s="17">
        <f t="shared" si="9"/>
        <v>0.38287061454329901</v>
      </c>
      <c r="M19" s="10">
        <v>403</v>
      </c>
      <c r="N19" s="10">
        <v>385</v>
      </c>
      <c r="O19" s="22">
        <f t="shared" si="10"/>
        <v>0.95533498759305213</v>
      </c>
      <c r="P19" s="17">
        <f t="shared" si="0"/>
        <v>264451</v>
      </c>
      <c r="Q19" s="17">
        <f t="shared" si="1"/>
        <v>853</v>
      </c>
      <c r="R19">
        <f t="shared" si="2"/>
        <v>18</v>
      </c>
      <c r="S19">
        <f t="shared" si="3"/>
        <v>28</v>
      </c>
      <c r="T19" s="1">
        <f t="shared" si="4"/>
        <v>8680.6893317702234</v>
      </c>
      <c r="U19" s="23">
        <f t="shared" si="5"/>
        <v>103088.80189166772</v>
      </c>
    </row>
    <row r="20" spans="1:21" x14ac:dyDescent="0.2">
      <c r="A20" s="9" t="s">
        <v>21</v>
      </c>
      <c r="B20">
        <v>3</v>
      </c>
      <c r="C20" s="11">
        <v>33637</v>
      </c>
      <c r="D20" s="11">
        <v>340350.36</v>
      </c>
      <c r="E20" s="11">
        <v>14746.76</v>
      </c>
      <c r="F20" s="6">
        <v>0</v>
      </c>
      <c r="G20" s="17">
        <f t="shared" si="6"/>
        <v>2.2809756176950056</v>
      </c>
      <c r="H20" s="6">
        <v>0</v>
      </c>
      <c r="I20" s="17">
        <f t="shared" si="7"/>
        <v>0</v>
      </c>
      <c r="J20" s="17">
        <f t="shared" si="8"/>
        <v>10.118332788298599</v>
      </c>
      <c r="K20" s="6">
        <v>1460820.11</v>
      </c>
      <c r="L20" s="17">
        <f t="shared" si="9"/>
        <v>0.2329858123324986</v>
      </c>
      <c r="M20" s="10">
        <v>279</v>
      </c>
      <c r="N20" s="10">
        <v>276</v>
      </c>
      <c r="O20" s="22">
        <f t="shared" si="10"/>
        <v>0.989247311827957</v>
      </c>
      <c r="P20" s="17">
        <f t="shared" si="0"/>
        <v>264451</v>
      </c>
      <c r="Q20" s="17">
        <f t="shared" si="1"/>
        <v>853</v>
      </c>
      <c r="R20">
        <f t="shared" si="2"/>
        <v>3</v>
      </c>
      <c r="S20">
        <f t="shared" si="3"/>
        <v>28</v>
      </c>
      <c r="T20" s="1">
        <f t="shared" si="4"/>
        <v>8680.6893317702234</v>
      </c>
      <c r="U20" s="23">
        <f t="shared" si="5"/>
        <v>87834.103490684502</v>
      </c>
    </row>
    <row r="21" spans="1:21" x14ac:dyDescent="0.2">
      <c r="A21" s="9" t="s">
        <v>21</v>
      </c>
      <c r="B21">
        <v>3</v>
      </c>
      <c r="C21" s="11">
        <v>83657</v>
      </c>
      <c r="D21" s="11">
        <v>1115334.81</v>
      </c>
      <c r="E21" s="11">
        <v>34281</v>
      </c>
      <c r="F21" s="11">
        <v>10284</v>
      </c>
      <c r="G21" s="17">
        <f t="shared" si="6"/>
        <v>2.4403313788979317</v>
      </c>
      <c r="H21" s="10">
        <v>1992</v>
      </c>
      <c r="I21" s="17">
        <f t="shared" si="7"/>
        <v>5.1626506024096388</v>
      </c>
      <c r="J21" s="17">
        <f t="shared" si="8"/>
        <v>13.332235318024793</v>
      </c>
      <c r="K21" s="11">
        <v>2255422.36</v>
      </c>
      <c r="L21" s="17">
        <f t="shared" si="9"/>
        <v>0.49451261536664032</v>
      </c>
      <c r="M21" s="10">
        <v>171</v>
      </c>
      <c r="N21" s="10">
        <v>164</v>
      </c>
      <c r="O21" s="22">
        <f t="shared" si="10"/>
        <v>0.95906432748538006</v>
      </c>
      <c r="P21" s="17">
        <f t="shared" si="0"/>
        <v>264451</v>
      </c>
      <c r="Q21" s="17">
        <f t="shared" si="1"/>
        <v>853</v>
      </c>
      <c r="R21">
        <f t="shared" si="2"/>
        <v>7</v>
      </c>
      <c r="S21">
        <f t="shared" si="3"/>
        <v>28</v>
      </c>
      <c r="T21" s="1">
        <f t="shared" si="4"/>
        <v>8680.6893317702234</v>
      </c>
      <c r="U21" s="23">
        <f t="shared" si="5"/>
        <v>115732.99289382801</v>
      </c>
    </row>
    <row r="22" spans="1:21" x14ac:dyDescent="0.2">
      <c r="A22" s="9" t="s">
        <v>21</v>
      </c>
      <c r="B22">
        <v>4</v>
      </c>
      <c r="C22" s="11">
        <v>194522.69</v>
      </c>
      <c r="D22" s="11">
        <v>2379746.4700000002</v>
      </c>
      <c r="E22" s="11">
        <v>93359.59</v>
      </c>
      <c r="F22" s="6">
        <v>0</v>
      </c>
      <c r="G22" s="17">
        <f t="shared" si="6"/>
        <v>2.0835855213160213</v>
      </c>
      <c r="H22" s="3">
        <v>0</v>
      </c>
      <c r="I22" s="17">
        <f t="shared" si="7"/>
        <v>0</v>
      </c>
      <c r="J22" s="17">
        <f t="shared" si="8"/>
        <v>12.233773191189162</v>
      </c>
      <c r="K22" s="11">
        <v>7264592.4900000002</v>
      </c>
      <c r="L22" s="17">
        <f t="shared" si="9"/>
        <v>0.32758155027633218</v>
      </c>
      <c r="M22" s="10">
        <v>868</v>
      </c>
      <c r="N22" s="10">
        <v>841</v>
      </c>
      <c r="O22" s="22">
        <f t="shared" si="10"/>
        <v>0.96889400921658986</v>
      </c>
      <c r="P22" s="17">
        <f t="shared" si="0"/>
        <v>214340.29</v>
      </c>
      <c r="Q22" s="17">
        <f t="shared" si="1"/>
        <v>992</v>
      </c>
      <c r="R22">
        <f t="shared" si="2"/>
        <v>27</v>
      </c>
      <c r="S22">
        <f t="shared" si="3"/>
        <v>27</v>
      </c>
      <c r="T22" s="1">
        <f t="shared" si="4"/>
        <v>5833.8586995967744</v>
      </c>
      <c r="U22" s="23">
        <f t="shared" si="5"/>
        <v>71370.10416031268</v>
      </c>
    </row>
    <row r="23" spans="1:21" x14ac:dyDescent="0.2">
      <c r="A23" s="9" t="s">
        <v>21</v>
      </c>
      <c r="B23">
        <v>4</v>
      </c>
      <c r="C23" s="11">
        <v>19817.599999999999</v>
      </c>
      <c r="D23" s="11">
        <v>202797.91</v>
      </c>
      <c r="E23" s="11">
        <v>14855.89</v>
      </c>
      <c r="F23" s="6">
        <v>0</v>
      </c>
      <c r="G23" s="17">
        <f t="shared" si="6"/>
        <v>1.333989414299648</v>
      </c>
      <c r="H23" s="3">
        <v>0</v>
      </c>
      <c r="I23" s="17">
        <f t="shared" si="7"/>
        <v>0</v>
      </c>
      <c r="J23" s="17">
        <f t="shared" si="8"/>
        <v>10.233222489100598</v>
      </c>
      <c r="K23" s="11">
        <v>1353580.01</v>
      </c>
      <c r="L23" s="17">
        <f t="shared" si="9"/>
        <v>0.14982336360005791</v>
      </c>
      <c r="M23" s="10">
        <v>124</v>
      </c>
      <c r="N23" s="10">
        <v>124</v>
      </c>
      <c r="O23" s="22">
        <f t="shared" si="10"/>
        <v>1</v>
      </c>
      <c r="P23" s="17">
        <f t="shared" si="0"/>
        <v>214340.29</v>
      </c>
      <c r="Q23" s="17">
        <f t="shared" si="1"/>
        <v>992</v>
      </c>
      <c r="R23">
        <f t="shared" si="2"/>
        <v>0</v>
      </c>
      <c r="S23">
        <f t="shared" si="3"/>
        <v>27</v>
      </c>
      <c r="T23" s="1">
        <f t="shared" si="4"/>
        <v>5833.8586995967744</v>
      </c>
      <c r="U23" s="23">
        <f t="shared" si="5"/>
        <v>59699.174042948878</v>
      </c>
    </row>
    <row r="24" spans="1:21" x14ac:dyDescent="0.2">
      <c r="A24" s="9" t="s">
        <v>21</v>
      </c>
      <c r="B24">
        <v>5</v>
      </c>
      <c r="C24" s="11">
        <v>289453</v>
      </c>
      <c r="D24" s="11">
        <v>2935021.86</v>
      </c>
      <c r="E24" s="11">
        <v>124171.62</v>
      </c>
      <c r="F24" s="6">
        <v>0</v>
      </c>
      <c r="G24" s="17">
        <f t="shared" si="6"/>
        <v>2.3310721081032848</v>
      </c>
      <c r="H24" s="3">
        <v>0</v>
      </c>
      <c r="I24" s="17">
        <f t="shared" si="7"/>
        <v>0</v>
      </c>
      <c r="J24" s="17">
        <f t="shared" si="8"/>
        <v>10.139890966754534</v>
      </c>
      <c r="K24" s="11">
        <v>8345115.6399999997</v>
      </c>
      <c r="L24" s="17">
        <f t="shared" si="9"/>
        <v>0.35170535515790646</v>
      </c>
      <c r="M24" s="10">
        <v>798</v>
      </c>
      <c r="N24" s="10">
        <v>564</v>
      </c>
      <c r="O24" s="22">
        <f t="shared" si="10"/>
        <v>0.70676691729323304</v>
      </c>
      <c r="P24" s="17">
        <f t="shared" si="0"/>
        <v>362903</v>
      </c>
      <c r="Q24" s="17">
        <f t="shared" si="1"/>
        <v>1154</v>
      </c>
      <c r="R24">
        <f t="shared" si="2"/>
        <v>234</v>
      </c>
      <c r="S24">
        <f t="shared" si="3"/>
        <v>257</v>
      </c>
      <c r="T24" s="1">
        <f t="shared" si="4"/>
        <v>80819.818890814568</v>
      </c>
      <c r="U24" s="23">
        <f t="shared" si="5"/>
        <v>819504.151505708</v>
      </c>
    </row>
    <row r="25" spans="1:21" x14ac:dyDescent="0.2">
      <c r="A25" s="9" t="s">
        <v>21</v>
      </c>
      <c r="B25">
        <v>5</v>
      </c>
      <c r="C25" s="11">
        <v>57420</v>
      </c>
      <c r="D25" s="11">
        <v>394823.86</v>
      </c>
      <c r="E25" s="11">
        <v>20358</v>
      </c>
      <c r="F25" s="6">
        <v>0</v>
      </c>
      <c r="G25" s="17">
        <f t="shared" si="6"/>
        <v>2.8205128205128207</v>
      </c>
      <c r="H25" s="3">
        <v>0</v>
      </c>
      <c r="I25" s="17">
        <f t="shared" si="7"/>
        <v>0</v>
      </c>
      <c r="J25" s="17">
        <f t="shared" si="8"/>
        <v>6.8760686172065482</v>
      </c>
      <c r="K25" s="11">
        <v>2124129.85</v>
      </c>
      <c r="L25" s="17">
        <f t="shared" si="9"/>
        <v>0.18587557629774845</v>
      </c>
      <c r="M25" s="10">
        <v>340</v>
      </c>
      <c r="N25" s="10">
        <v>317</v>
      </c>
      <c r="O25" s="22">
        <f t="shared" si="10"/>
        <v>0.93235294117647061</v>
      </c>
      <c r="P25" s="17">
        <f t="shared" si="0"/>
        <v>362903</v>
      </c>
      <c r="Q25" s="17">
        <f t="shared" si="1"/>
        <v>1154</v>
      </c>
      <c r="R25">
        <f t="shared" si="2"/>
        <v>23</v>
      </c>
      <c r="S25">
        <f t="shared" si="3"/>
        <v>257</v>
      </c>
      <c r="T25" s="1">
        <f t="shared" si="4"/>
        <v>80819.818890814568</v>
      </c>
      <c r="U25" s="23">
        <f t="shared" si="5"/>
        <v>555722.62032344693</v>
      </c>
    </row>
    <row r="26" spans="1:21" x14ac:dyDescent="0.2">
      <c r="A26" s="9" t="s">
        <v>21</v>
      </c>
      <c r="B26">
        <v>5</v>
      </c>
      <c r="C26" s="11">
        <v>9388</v>
      </c>
      <c r="D26" s="11">
        <v>91050.29</v>
      </c>
      <c r="E26" s="11">
        <v>3324</v>
      </c>
      <c r="F26" s="11">
        <v>587</v>
      </c>
      <c r="G26" s="17">
        <f t="shared" si="6"/>
        <v>2.8243080625752106</v>
      </c>
      <c r="H26" s="10">
        <v>98</v>
      </c>
      <c r="I26" s="17">
        <f t="shared" si="7"/>
        <v>5.9897959183673466</v>
      </c>
      <c r="J26" s="17">
        <f t="shared" si="8"/>
        <v>9.698582232637408</v>
      </c>
      <c r="K26" s="11">
        <v>937812</v>
      </c>
      <c r="L26" s="17">
        <f t="shared" si="9"/>
        <v>9.7087998447450016E-2</v>
      </c>
      <c r="M26" s="10">
        <v>4</v>
      </c>
      <c r="N26" s="10">
        <v>4</v>
      </c>
      <c r="O26" s="22">
        <f t="shared" si="10"/>
        <v>1</v>
      </c>
      <c r="P26" s="17">
        <f t="shared" si="0"/>
        <v>362903</v>
      </c>
      <c r="Q26" s="17">
        <f t="shared" si="1"/>
        <v>1154</v>
      </c>
      <c r="R26">
        <f t="shared" si="2"/>
        <v>0</v>
      </c>
      <c r="S26">
        <f t="shared" si="3"/>
        <v>257</v>
      </c>
      <c r="T26" s="1">
        <f t="shared" si="4"/>
        <v>80819.818890814568</v>
      </c>
      <c r="U26" s="23">
        <f t="shared" si="5"/>
        <v>783837.65953942726</v>
      </c>
    </row>
    <row r="27" spans="1:21" x14ac:dyDescent="0.2">
      <c r="A27" s="9" t="s">
        <v>21</v>
      </c>
      <c r="B27">
        <v>5</v>
      </c>
      <c r="C27" s="11">
        <v>6642</v>
      </c>
      <c r="D27" s="11">
        <v>75186.75</v>
      </c>
      <c r="E27" s="11">
        <v>2925</v>
      </c>
      <c r="F27" s="11">
        <v>0</v>
      </c>
      <c r="G27" s="17">
        <f t="shared" si="6"/>
        <v>2.2707692307692309</v>
      </c>
      <c r="H27" s="10">
        <v>0</v>
      </c>
      <c r="I27" s="17">
        <f t="shared" si="7"/>
        <v>0</v>
      </c>
      <c r="J27" s="17">
        <f t="shared" si="8"/>
        <v>11.319896115627824</v>
      </c>
      <c r="K27" s="11">
        <v>222000</v>
      </c>
      <c r="L27" s="17">
        <f t="shared" si="9"/>
        <v>0.33867905405405407</v>
      </c>
      <c r="M27" s="10">
        <v>12</v>
      </c>
      <c r="N27" s="10">
        <v>12</v>
      </c>
      <c r="O27" s="22">
        <f t="shared" si="10"/>
        <v>1</v>
      </c>
      <c r="P27" s="17">
        <f t="shared" si="0"/>
        <v>362903</v>
      </c>
      <c r="Q27" s="17">
        <f t="shared" si="1"/>
        <v>1154</v>
      </c>
      <c r="R27">
        <f t="shared" si="2"/>
        <v>0</v>
      </c>
      <c r="S27">
        <f t="shared" si="3"/>
        <v>257</v>
      </c>
      <c r="T27" s="1">
        <f t="shared" si="4"/>
        <v>80819.818890814568</v>
      </c>
      <c r="U27" s="23">
        <f t="shared" si="5"/>
        <v>914871.95392787608</v>
      </c>
    </row>
    <row r="28" spans="1:21" x14ac:dyDescent="0.2">
      <c r="A28" s="9" t="s">
        <v>21</v>
      </c>
      <c r="B28">
        <v>6</v>
      </c>
      <c r="C28" s="11">
        <v>139271</v>
      </c>
      <c r="D28" s="11">
        <v>789951.08</v>
      </c>
      <c r="E28" s="11">
        <v>30764.639999999999</v>
      </c>
      <c r="F28" s="6">
        <v>0</v>
      </c>
      <c r="G28" s="17">
        <f t="shared" si="6"/>
        <v>4.5269829258525371</v>
      </c>
      <c r="H28" s="3">
        <v>0</v>
      </c>
      <c r="I28" s="17">
        <f t="shared" si="7"/>
        <v>0</v>
      </c>
      <c r="J28" s="17">
        <f t="shared" si="8"/>
        <v>5.6720428517063848</v>
      </c>
      <c r="K28" s="11">
        <v>5821564.6399999997</v>
      </c>
      <c r="L28" s="17">
        <f t="shared" si="9"/>
        <v>0.13569394636147164</v>
      </c>
      <c r="M28" s="10">
        <v>442</v>
      </c>
      <c r="N28" s="10">
        <v>426</v>
      </c>
      <c r="O28" s="22">
        <f t="shared" si="10"/>
        <v>0.96380090497737558</v>
      </c>
      <c r="P28" s="17">
        <f t="shared" si="0"/>
        <v>144938</v>
      </c>
      <c r="Q28" s="17">
        <f t="shared" si="1"/>
        <v>484</v>
      </c>
      <c r="R28">
        <f t="shared" si="2"/>
        <v>16</v>
      </c>
      <c r="S28">
        <f t="shared" si="3"/>
        <v>16</v>
      </c>
      <c r="T28" s="1">
        <f t="shared" si="4"/>
        <v>4791.3388429752067</v>
      </c>
      <c r="U28" s="23">
        <f t="shared" si="5"/>
        <v>27176.679234400661</v>
      </c>
    </row>
    <row r="29" spans="1:21" x14ac:dyDescent="0.2">
      <c r="A29" s="9" t="s">
        <v>21</v>
      </c>
      <c r="B29">
        <v>6</v>
      </c>
      <c r="C29" s="11">
        <v>3085</v>
      </c>
      <c r="D29" s="11">
        <v>19515</v>
      </c>
      <c r="E29" s="11">
        <v>841</v>
      </c>
      <c r="F29" s="6">
        <v>0</v>
      </c>
      <c r="G29" s="17">
        <f t="shared" si="6"/>
        <v>3.6682520808561239</v>
      </c>
      <c r="H29" s="3">
        <v>0</v>
      </c>
      <c r="I29" s="17">
        <f t="shared" si="7"/>
        <v>0</v>
      </c>
      <c r="J29" s="17">
        <f t="shared" si="8"/>
        <v>6.3257698541329015</v>
      </c>
      <c r="K29" s="6">
        <v>146000</v>
      </c>
      <c r="L29" s="17">
        <f t="shared" si="9"/>
        <v>0.13366438356164384</v>
      </c>
      <c r="M29" s="10">
        <v>24</v>
      </c>
      <c r="N29" s="10">
        <v>24</v>
      </c>
      <c r="O29" s="22">
        <f t="shared" si="10"/>
        <v>1</v>
      </c>
      <c r="P29" s="17">
        <f t="shared" si="0"/>
        <v>144938</v>
      </c>
      <c r="Q29" s="17">
        <f t="shared" si="1"/>
        <v>484</v>
      </c>
      <c r="R29">
        <f t="shared" si="2"/>
        <v>0</v>
      </c>
      <c r="S29">
        <f t="shared" si="3"/>
        <v>16</v>
      </c>
      <c r="T29" s="1">
        <f t="shared" si="4"/>
        <v>4791.3388429752067</v>
      </c>
      <c r="U29" s="23">
        <f t="shared" si="5"/>
        <v>30308.90681382858</v>
      </c>
    </row>
    <row r="30" spans="1:21" x14ac:dyDescent="0.2">
      <c r="A30" s="9" t="s">
        <v>21</v>
      </c>
      <c r="B30">
        <v>6</v>
      </c>
      <c r="C30" s="11">
        <v>2582</v>
      </c>
      <c r="D30" s="11">
        <v>65429.89</v>
      </c>
      <c r="E30" s="11">
        <v>2735</v>
      </c>
      <c r="F30" s="6">
        <v>0</v>
      </c>
      <c r="G30" s="17">
        <f t="shared" si="6"/>
        <v>0.94405850091407684</v>
      </c>
      <c r="H30" s="3">
        <v>0</v>
      </c>
      <c r="I30" s="17">
        <f t="shared" si="7"/>
        <v>0</v>
      </c>
      <c r="J30" s="17">
        <f t="shared" si="8"/>
        <v>25.340778466305188</v>
      </c>
      <c r="K30" s="6">
        <v>135824.28</v>
      </c>
      <c r="L30" s="17">
        <f t="shared" si="9"/>
        <v>0.48172454880673765</v>
      </c>
      <c r="M30" s="10">
        <v>18</v>
      </c>
      <c r="N30" s="10">
        <v>18</v>
      </c>
      <c r="O30" s="22">
        <f t="shared" si="10"/>
        <v>1</v>
      </c>
      <c r="P30" s="17">
        <f t="shared" si="0"/>
        <v>144938</v>
      </c>
      <c r="Q30" s="17">
        <f t="shared" si="1"/>
        <v>484</v>
      </c>
      <c r="R30">
        <f t="shared" si="2"/>
        <v>0</v>
      </c>
      <c r="S30">
        <f t="shared" si="3"/>
        <v>16</v>
      </c>
      <c r="T30" s="1">
        <f t="shared" si="4"/>
        <v>4791.3388429752067</v>
      </c>
      <c r="U30" s="23">
        <f t="shared" si="5"/>
        <v>121416.25617683773</v>
      </c>
    </row>
    <row r="31" spans="1:21" x14ac:dyDescent="0.2">
      <c r="A31" s="9" t="s">
        <v>21</v>
      </c>
      <c r="B31">
        <v>7</v>
      </c>
      <c r="C31" s="11">
        <v>22311</v>
      </c>
      <c r="D31" s="11">
        <v>175144.89</v>
      </c>
      <c r="E31" s="11">
        <v>6808</v>
      </c>
      <c r="F31" s="11">
        <v>5724</v>
      </c>
      <c r="G31" s="17">
        <f t="shared" si="6"/>
        <v>3.277173913043478</v>
      </c>
      <c r="H31" s="3">
        <v>0</v>
      </c>
      <c r="I31" s="20">
        <f t="shared" si="7"/>
        <v>0</v>
      </c>
      <c r="J31" s="17">
        <f t="shared" si="8"/>
        <v>7.8501586661288156</v>
      </c>
      <c r="K31" s="6">
        <v>717930.34</v>
      </c>
      <c r="L31" s="17">
        <f t="shared" si="9"/>
        <v>0.24395805587489175</v>
      </c>
      <c r="M31" s="10">
        <v>70</v>
      </c>
      <c r="N31" s="10">
        <v>62</v>
      </c>
      <c r="O31" s="22">
        <f t="shared" si="10"/>
        <v>0.88571428571428568</v>
      </c>
      <c r="P31" s="17">
        <f t="shared" si="0"/>
        <v>22311</v>
      </c>
      <c r="Q31" s="17">
        <f t="shared" si="1"/>
        <v>70</v>
      </c>
      <c r="R31">
        <f t="shared" si="2"/>
        <v>8</v>
      </c>
      <c r="S31">
        <f t="shared" si="3"/>
        <v>8</v>
      </c>
      <c r="T31" s="1">
        <f t="shared" si="4"/>
        <v>2549.8285714285716</v>
      </c>
      <c r="U31" s="23">
        <f t="shared" si="5"/>
        <v>20016.55885714286</v>
      </c>
    </row>
    <row r="32" spans="1:21" x14ac:dyDescent="0.2">
      <c r="A32" s="9" t="s">
        <v>22</v>
      </c>
      <c r="B32">
        <v>1</v>
      </c>
      <c r="C32" s="11">
        <v>207857</v>
      </c>
      <c r="D32" s="11">
        <v>2209559</v>
      </c>
      <c r="E32" s="11">
        <v>103510</v>
      </c>
      <c r="F32" s="6">
        <v>0</v>
      </c>
      <c r="G32" s="17">
        <f t="shared" si="6"/>
        <v>2.0080861752487684</v>
      </c>
      <c r="H32" s="3">
        <v>0</v>
      </c>
      <c r="I32" s="20">
        <f t="shared" si="7"/>
        <v>0</v>
      </c>
      <c r="J32" s="17">
        <f t="shared" si="8"/>
        <v>10.630188061984922</v>
      </c>
      <c r="K32" s="11">
        <v>13600383</v>
      </c>
      <c r="L32" s="17">
        <f t="shared" si="9"/>
        <v>0.16246299828468067</v>
      </c>
      <c r="M32" s="10">
        <v>1371</v>
      </c>
      <c r="N32" s="10">
        <v>1406</v>
      </c>
      <c r="O32" s="22">
        <f t="shared" si="10"/>
        <v>1.0255288110867979</v>
      </c>
      <c r="P32" s="17">
        <f t="shared" si="0"/>
        <v>207857</v>
      </c>
      <c r="Q32" s="17">
        <f t="shared" si="1"/>
        <v>1371</v>
      </c>
      <c r="R32">
        <f t="shared" si="2"/>
        <v>-35</v>
      </c>
      <c r="S32">
        <f t="shared" si="3"/>
        <v>-35</v>
      </c>
      <c r="T32" s="1">
        <f t="shared" si="4"/>
        <v>-5306.3420860685637</v>
      </c>
      <c r="U32" s="23">
        <f t="shared" si="5"/>
        <v>-56407.414296134215</v>
      </c>
    </row>
    <row r="33" spans="1:21" x14ac:dyDescent="0.2">
      <c r="A33" s="9" t="s">
        <v>22</v>
      </c>
      <c r="B33">
        <v>2</v>
      </c>
      <c r="C33" s="11">
        <v>259081</v>
      </c>
      <c r="D33" s="11">
        <v>2424194</v>
      </c>
      <c r="E33" s="11">
        <v>124692</v>
      </c>
      <c r="F33" s="6">
        <v>0</v>
      </c>
      <c r="G33" s="17">
        <f t="shared" si="6"/>
        <v>2.0777676194142365</v>
      </c>
      <c r="H33" s="3">
        <v>0</v>
      </c>
      <c r="I33" s="20">
        <f t="shared" si="7"/>
        <v>0</v>
      </c>
      <c r="J33" s="17">
        <f t="shared" si="8"/>
        <v>9.3568961058510656</v>
      </c>
      <c r="K33" s="11">
        <v>7107883</v>
      </c>
      <c r="L33" s="17">
        <f t="shared" si="9"/>
        <v>0.34105710518870386</v>
      </c>
      <c r="M33" s="10">
        <v>600</v>
      </c>
      <c r="N33" s="10">
        <v>570</v>
      </c>
      <c r="O33" s="22">
        <f t="shared" si="10"/>
        <v>0.95</v>
      </c>
      <c r="P33" s="17">
        <f t="shared" si="0"/>
        <v>259081</v>
      </c>
      <c r="Q33" s="17">
        <f t="shared" si="1"/>
        <v>600</v>
      </c>
      <c r="R33">
        <f t="shared" si="2"/>
        <v>30</v>
      </c>
      <c r="S33">
        <f t="shared" si="3"/>
        <v>30</v>
      </c>
      <c r="T33" s="1">
        <f t="shared" si="4"/>
        <v>12954.050000000001</v>
      </c>
      <c r="U33" s="23">
        <f t="shared" si="5"/>
        <v>121209.70000000001</v>
      </c>
    </row>
    <row r="34" spans="1:21" x14ac:dyDescent="0.2">
      <c r="A34" s="9" t="s">
        <v>22</v>
      </c>
      <c r="B34">
        <v>3</v>
      </c>
      <c r="C34" s="11">
        <v>243835</v>
      </c>
      <c r="D34" s="11">
        <v>2620804.0699999998</v>
      </c>
      <c r="E34" s="11">
        <v>115408</v>
      </c>
      <c r="F34" s="6">
        <v>0</v>
      </c>
      <c r="G34" s="17">
        <f t="shared" si="6"/>
        <v>2.1128084708165811</v>
      </c>
      <c r="H34" s="3">
        <v>0</v>
      </c>
      <c r="I34" s="20">
        <f t="shared" si="7"/>
        <v>0</v>
      </c>
      <c r="J34" s="17">
        <f t="shared" si="8"/>
        <v>10.748268583263272</v>
      </c>
      <c r="K34" s="11">
        <v>7223944.79</v>
      </c>
      <c r="L34" s="17">
        <f t="shared" si="9"/>
        <v>0.36279403375672808</v>
      </c>
      <c r="M34" s="10">
        <v>841</v>
      </c>
      <c r="N34" s="10">
        <v>683</v>
      </c>
      <c r="O34" s="22">
        <f t="shared" si="10"/>
        <v>0.81212841854934603</v>
      </c>
      <c r="P34" s="17">
        <f t="shared" si="0"/>
        <v>318825</v>
      </c>
      <c r="Q34" s="17">
        <f t="shared" si="1"/>
        <v>1183</v>
      </c>
      <c r="R34">
        <f t="shared" si="2"/>
        <v>158</v>
      </c>
      <c r="S34">
        <f t="shared" si="3"/>
        <v>171</v>
      </c>
      <c r="T34" s="1">
        <f t="shared" si="4"/>
        <v>46085.439560439554</v>
      </c>
      <c r="U34" s="23">
        <f t="shared" si="5"/>
        <v>495338.68217335077</v>
      </c>
    </row>
    <row r="35" spans="1:21" x14ac:dyDescent="0.2">
      <c r="A35" s="9" t="s">
        <v>22</v>
      </c>
      <c r="B35">
        <v>3</v>
      </c>
      <c r="C35" s="11">
        <v>50521</v>
      </c>
      <c r="D35" s="11">
        <v>450159.7</v>
      </c>
      <c r="E35" s="11">
        <v>20245</v>
      </c>
      <c r="F35" s="6">
        <v>0</v>
      </c>
      <c r="G35" s="17">
        <f t="shared" si="6"/>
        <v>2.4954803655223512</v>
      </c>
      <c r="H35" s="3">
        <v>0</v>
      </c>
      <c r="I35" s="20">
        <f t="shared" si="7"/>
        <v>0</v>
      </c>
      <c r="J35" s="17">
        <f t="shared" si="8"/>
        <v>8.9103481720472679</v>
      </c>
      <c r="K35" s="6">
        <v>1962279.4</v>
      </c>
      <c r="L35" s="17">
        <f t="shared" si="9"/>
        <v>0.22940652590044008</v>
      </c>
      <c r="M35" s="10">
        <v>330</v>
      </c>
      <c r="N35" s="10">
        <v>317</v>
      </c>
      <c r="O35" s="22">
        <f t="shared" si="10"/>
        <v>0.96060606060606057</v>
      </c>
      <c r="P35" s="17">
        <f t="shared" si="0"/>
        <v>318825</v>
      </c>
      <c r="Q35" s="17">
        <f t="shared" si="1"/>
        <v>1183</v>
      </c>
      <c r="R35">
        <f t="shared" si="2"/>
        <v>13</v>
      </c>
      <c r="S35">
        <f t="shared" si="3"/>
        <v>171</v>
      </c>
      <c r="T35" s="1">
        <f t="shared" si="4"/>
        <v>46085.439560439554</v>
      </c>
      <c r="U35" s="23">
        <f t="shared" si="5"/>
        <v>410637.31214535743</v>
      </c>
    </row>
    <row r="36" spans="1:21" x14ac:dyDescent="0.2">
      <c r="A36" s="9" t="s">
        <v>22</v>
      </c>
      <c r="B36">
        <v>3</v>
      </c>
      <c r="C36" s="11">
        <v>11399</v>
      </c>
      <c r="D36" s="11">
        <v>96159.679999999993</v>
      </c>
      <c r="E36" s="11">
        <v>4143</v>
      </c>
      <c r="F36" s="11">
        <v>1025</v>
      </c>
      <c r="G36" s="17">
        <f t="shared" si="6"/>
        <v>2.751387883176442</v>
      </c>
      <c r="H36" s="10">
        <v>46</v>
      </c>
      <c r="I36" s="20">
        <f t="shared" si="7"/>
        <v>22.282608695652176</v>
      </c>
      <c r="J36" s="17">
        <f t="shared" si="8"/>
        <v>8.4357996315466259</v>
      </c>
      <c r="K36" s="11">
        <v>338000</v>
      </c>
      <c r="L36" s="17">
        <f t="shared" si="9"/>
        <v>0.28449609467455617</v>
      </c>
      <c r="M36" s="10">
        <v>5</v>
      </c>
      <c r="N36" s="10">
        <v>5</v>
      </c>
      <c r="O36" s="22">
        <f t="shared" si="10"/>
        <v>1</v>
      </c>
      <c r="P36" s="17">
        <f t="shared" si="0"/>
        <v>318825</v>
      </c>
      <c r="Q36" s="17">
        <f t="shared" si="1"/>
        <v>1183</v>
      </c>
      <c r="R36">
        <f t="shared" si="2"/>
        <v>0</v>
      </c>
      <c r="S36">
        <f t="shared" si="3"/>
        <v>171</v>
      </c>
      <c r="T36" s="1">
        <f t="shared" si="4"/>
        <v>46085.439560439554</v>
      </c>
      <c r="U36" s="23">
        <f t="shared" si="5"/>
        <v>388767.53406362026</v>
      </c>
    </row>
    <row r="37" spans="1:21" x14ac:dyDescent="0.2">
      <c r="A37" s="9" t="s">
        <v>22</v>
      </c>
      <c r="B37">
        <v>3</v>
      </c>
      <c r="C37" s="11">
        <v>13070</v>
      </c>
      <c r="D37" s="11">
        <v>131605</v>
      </c>
      <c r="E37" s="11">
        <v>5081.17</v>
      </c>
      <c r="F37" s="6">
        <v>0</v>
      </c>
      <c r="G37" s="17">
        <f t="shared" si="6"/>
        <v>2.5722422198037065</v>
      </c>
      <c r="H37" s="3">
        <v>0</v>
      </c>
      <c r="I37" s="20">
        <f t="shared" si="7"/>
        <v>0</v>
      </c>
      <c r="J37" s="17">
        <f t="shared" si="8"/>
        <v>10.069242540168325</v>
      </c>
      <c r="K37" s="6">
        <v>589000</v>
      </c>
      <c r="L37" s="17">
        <f t="shared" si="9"/>
        <v>0.22343803056027164</v>
      </c>
      <c r="M37" s="10">
        <v>7</v>
      </c>
      <c r="N37" s="10">
        <v>7</v>
      </c>
      <c r="O37" s="22">
        <f t="shared" si="10"/>
        <v>1</v>
      </c>
      <c r="P37" s="17">
        <f t="shared" si="0"/>
        <v>318825</v>
      </c>
      <c r="Q37" s="17">
        <f t="shared" si="1"/>
        <v>1183</v>
      </c>
      <c r="R37">
        <f t="shared" si="2"/>
        <v>0</v>
      </c>
      <c r="S37">
        <f t="shared" si="3"/>
        <v>171</v>
      </c>
      <c r="T37" s="1">
        <f t="shared" si="4"/>
        <v>46085.439560439554</v>
      </c>
      <c r="U37" s="23">
        <f t="shared" si="5"/>
        <v>464045.46850433422</v>
      </c>
    </row>
    <row r="38" spans="1:21" x14ac:dyDescent="0.2">
      <c r="A38" s="9" t="s">
        <v>22</v>
      </c>
      <c r="B38">
        <v>4</v>
      </c>
      <c r="C38" s="11">
        <v>161572</v>
      </c>
      <c r="D38" s="11">
        <v>1765106.02</v>
      </c>
      <c r="E38" s="11">
        <v>83311</v>
      </c>
      <c r="F38" s="6">
        <v>0</v>
      </c>
      <c r="G38" s="17">
        <f t="shared" si="6"/>
        <v>1.9393837548462989</v>
      </c>
      <c r="H38" s="3">
        <v>0</v>
      </c>
      <c r="I38" s="20">
        <f t="shared" si="7"/>
        <v>0</v>
      </c>
      <c r="J38" s="17">
        <f t="shared" si="8"/>
        <v>10.924578639863343</v>
      </c>
      <c r="K38" s="6">
        <v>4729756.3600000003</v>
      </c>
      <c r="L38" s="17">
        <f t="shared" si="9"/>
        <v>0.37319174300978158</v>
      </c>
      <c r="M38" s="10">
        <v>448</v>
      </c>
      <c r="N38" s="10">
        <v>380</v>
      </c>
      <c r="O38" s="22">
        <f t="shared" si="10"/>
        <v>0.8482142857142857</v>
      </c>
      <c r="P38" s="17">
        <f t="shared" si="0"/>
        <v>268545</v>
      </c>
      <c r="Q38" s="17">
        <f t="shared" si="1"/>
        <v>912</v>
      </c>
      <c r="R38">
        <f t="shared" si="2"/>
        <v>68</v>
      </c>
      <c r="S38">
        <f t="shared" si="3"/>
        <v>85</v>
      </c>
      <c r="T38" s="1">
        <f t="shared" si="4"/>
        <v>25028.865131578947</v>
      </c>
      <c r="U38" s="23">
        <f t="shared" si="5"/>
        <v>273429.8053964678</v>
      </c>
    </row>
    <row r="39" spans="1:21" x14ac:dyDescent="0.2">
      <c r="A39" s="9" t="s">
        <v>22</v>
      </c>
      <c r="B39">
        <v>4</v>
      </c>
      <c r="C39" s="11">
        <v>32520</v>
      </c>
      <c r="D39" s="11">
        <v>317962.8</v>
      </c>
      <c r="E39" s="11">
        <v>14128</v>
      </c>
      <c r="F39" s="6">
        <v>0</v>
      </c>
      <c r="G39" s="17">
        <f t="shared" si="6"/>
        <v>2.3018120045300114</v>
      </c>
      <c r="H39" s="3">
        <v>0</v>
      </c>
      <c r="I39" s="20">
        <f t="shared" si="7"/>
        <v>0</v>
      </c>
      <c r="J39" s="17">
        <f t="shared" si="8"/>
        <v>9.7774538745387449</v>
      </c>
      <c r="K39" s="6">
        <v>1411794.24</v>
      </c>
      <c r="L39" s="17">
        <f t="shared" si="9"/>
        <v>0.22521893841980825</v>
      </c>
      <c r="M39" s="10">
        <v>270</v>
      </c>
      <c r="N39" s="10">
        <v>254</v>
      </c>
      <c r="O39" s="22">
        <f t="shared" si="10"/>
        <v>0.94074074074074077</v>
      </c>
      <c r="P39" s="17">
        <f t="shared" si="0"/>
        <v>268545</v>
      </c>
      <c r="Q39" s="17">
        <f t="shared" si="1"/>
        <v>912</v>
      </c>
      <c r="R39">
        <f t="shared" si="2"/>
        <v>16</v>
      </c>
      <c r="S39">
        <f t="shared" si="3"/>
        <v>85</v>
      </c>
      <c r="T39" s="1">
        <f t="shared" si="4"/>
        <v>25028.865131578947</v>
      </c>
      <c r="U39" s="23">
        <f t="shared" si="5"/>
        <v>244718.57435606426</v>
      </c>
    </row>
    <row r="40" spans="1:21" x14ac:dyDescent="0.2">
      <c r="A40" s="9" t="s">
        <v>22</v>
      </c>
      <c r="B40">
        <v>4</v>
      </c>
      <c r="C40" s="11">
        <v>74453</v>
      </c>
      <c r="D40" s="11">
        <v>816897.24</v>
      </c>
      <c r="E40" s="11">
        <v>27906</v>
      </c>
      <c r="F40" s="11">
        <v>8274</v>
      </c>
      <c r="G40" s="17">
        <f t="shared" si="6"/>
        <v>2.6679925464057908</v>
      </c>
      <c r="H40" s="10">
        <v>1049</v>
      </c>
      <c r="I40" s="20">
        <f t="shared" si="7"/>
        <v>7.8875119161105811</v>
      </c>
      <c r="J40" s="17">
        <f t="shared" si="8"/>
        <v>10.971985547929567</v>
      </c>
      <c r="K40" s="6">
        <v>2007167.27</v>
      </c>
      <c r="L40" s="17">
        <f t="shared" si="9"/>
        <v>0.40699011597573531</v>
      </c>
      <c r="M40" s="10">
        <v>194</v>
      </c>
      <c r="N40" s="10">
        <v>193</v>
      </c>
      <c r="O40" s="22">
        <f t="shared" si="10"/>
        <v>0.99484536082474229</v>
      </c>
      <c r="P40" s="17">
        <f t="shared" si="0"/>
        <v>268545</v>
      </c>
      <c r="Q40" s="17">
        <f t="shared" si="1"/>
        <v>912</v>
      </c>
      <c r="R40">
        <f t="shared" si="2"/>
        <v>1</v>
      </c>
      <c r="S40">
        <f t="shared" si="3"/>
        <v>85</v>
      </c>
      <c r="T40" s="1">
        <f t="shared" si="4"/>
        <v>25028.865131578947</v>
      </c>
      <c r="U40" s="23">
        <f t="shared" si="5"/>
        <v>274616.34650476248</v>
      </c>
    </row>
    <row r="41" spans="1:21" x14ac:dyDescent="0.2">
      <c r="A41" s="9" t="s">
        <v>22</v>
      </c>
      <c r="B41">
        <v>5</v>
      </c>
      <c r="C41" s="11">
        <v>170240</v>
      </c>
      <c r="D41" s="11">
        <v>2093581.95</v>
      </c>
      <c r="E41" s="11">
        <v>84429</v>
      </c>
      <c r="F41" s="6">
        <v>0</v>
      </c>
      <c r="G41" s="17">
        <f t="shared" si="6"/>
        <v>2.0163687832379869</v>
      </c>
      <c r="H41" s="6">
        <v>0</v>
      </c>
      <c r="I41" s="20">
        <f t="shared" si="7"/>
        <v>0</v>
      </c>
      <c r="J41" s="17">
        <f t="shared" si="8"/>
        <v>12.297826304041353</v>
      </c>
      <c r="K41" s="6">
        <v>6109197.6299999999</v>
      </c>
      <c r="L41" s="17">
        <f t="shared" si="9"/>
        <v>0.34269343976027178</v>
      </c>
      <c r="M41" s="10">
        <v>416</v>
      </c>
      <c r="N41" s="10">
        <v>412</v>
      </c>
      <c r="O41" s="22">
        <f t="shared" si="10"/>
        <v>0.99038461538461542</v>
      </c>
      <c r="P41" s="17">
        <f t="shared" si="0"/>
        <v>170240</v>
      </c>
      <c r="Q41" s="17">
        <f t="shared" si="1"/>
        <v>416</v>
      </c>
      <c r="R41">
        <f t="shared" si="2"/>
        <v>4</v>
      </c>
      <c r="S41">
        <f t="shared" si="3"/>
        <v>4</v>
      </c>
      <c r="T41" s="1">
        <f t="shared" si="4"/>
        <v>1636.9230769230769</v>
      </c>
      <c r="U41" s="23">
        <f t="shared" si="5"/>
        <v>20130.595673076921</v>
      </c>
    </row>
    <row r="42" spans="1:21" x14ac:dyDescent="0.2">
      <c r="A42" s="9" t="s">
        <v>22</v>
      </c>
      <c r="B42">
        <v>6</v>
      </c>
      <c r="C42" s="11">
        <v>48791</v>
      </c>
      <c r="D42" s="11">
        <v>411316.24</v>
      </c>
      <c r="E42" s="11">
        <v>15845</v>
      </c>
      <c r="F42" s="11">
        <v>8652</v>
      </c>
      <c r="G42" s="17">
        <f t="shared" si="6"/>
        <v>3.0792679078573681</v>
      </c>
      <c r="H42" s="10">
        <v>1523</v>
      </c>
      <c r="I42" s="20">
        <f t="shared" si="7"/>
        <v>5.6808929743926457</v>
      </c>
      <c r="J42" s="17">
        <f t="shared" si="8"/>
        <v>8.4301662191797657</v>
      </c>
      <c r="K42" s="11">
        <v>1788415.41</v>
      </c>
      <c r="L42" s="17">
        <f t="shared" si="9"/>
        <v>0.22998920591944574</v>
      </c>
      <c r="M42" s="10">
        <v>160</v>
      </c>
      <c r="N42" s="10">
        <v>160</v>
      </c>
      <c r="O42" s="22">
        <f t="shared" si="10"/>
        <v>1</v>
      </c>
      <c r="P42" s="17">
        <f t="shared" si="0"/>
        <v>48791</v>
      </c>
      <c r="Q42" s="17">
        <f t="shared" si="1"/>
        <v>160</v>
      </c>
      <c r="R42">
        <f t="shared" si="2"/>
        <v>0</v>
      </c>
      <c r="S42">
        <f t="shared" si="3"/>
        <v>0</v>
      </c>
      <c r="T42" s="1">
        <f t="shared" si="4"/>
        <v>0</v>
      </c>
      <c r="U42" s="23">
        <f t="shared" si="5"/>
        <v>0</v>
      </c>
    </row>
    <row r="43" spans="1:21" x14ac:dyDescent="0.2">
      <c r="A43" s="9" t="s">
        <v>22</v>
      </c>
      <c r="B43">
        <v>7</v>
      </c>
      <c r="C43" s="11">
        <v>193559.36</v>
      </c>
      <c r="D43" s="11">
        <v>2164129.92</v>
      </c>
      <c r="E43" s="11">
        <v>86093.115999999995</v>
      </c>
      <c r="F43" s="6">
        <v>0</v>
      </c>
      <c r="G43" s="17">
        <f t="shared" si="6"/>
        <v>2.2482559465033187</v>
      </c>
      <c r="H43" s="6">
        <v>0</v>
      </c>
      <c r="I43" s="20">
        <f t="shared" si="7"/>
        <v>0</v>
      </c>
      <c r="J43" s="17">
        <f t="shared" si="8"/>
        <v>11.180704048618471</v>
      </c>
      <c r="K43" s="6">
        <v>7006956.4800000004</v>
      </c>
      <c r="L43" s="17">
        <f t="shared" si="9"/>
        <v>0.30885448285244665</v>
      </c>
      <c r="M43" s="10">
        <v>899</v>
      </c>
      <c r="N43" s="10">
        <v>823</v>
      </c>
      <c r="O43" s="22">
        <f t="shared" si="10"/>
        <v>0.91546162402669629</v>
      </c>
      <c r="P43" s="17">
        <f t="shared" si="0"/>
        <v>207484.13999999998</v>
      </c>
      <c r="Q43" s="17">
        <f t="shared" si="1"/>
        <v>1015</v>
      </c>
      <c r="R43">
        <f t="shared" si="2"/>
        <v>76</v>
      </c>
      <c r="S43">
        <f t="shared" si="3"/>
        <v>90</v>
      </c>
      <c r="T43" s="1">
        <f t="shared" si="4"/>
        <v>18397.608472906402</v>
      </c>
      <c r="U43" s="23">
        <f t="shared" si="5"/>
        <v>205698.21553792211</v>
      </c>
    </row>
    <row r="44" spans="1:21" x14ac:dyDescent="0.2">
      <c r="A44" s="9" t="s">
        <v>22</v>
      </c>
      <c r="B44">
        <v>7</v>
      </c>
      <c r="C44" s="11">
        <v>13924.78</v>
      </c>
      <c r="D44" s="11">
        <v>149917.13</v>
      </c>
      <c r="E44" s="11">
        <v>14607.64</v>
      </c>
      <c r="F44" s="6">
        <v>0</v>
      </c>
      <c r="G44" s="17">
        <f t="shared" si="6"/>
        <v>0.95325322913215282</v>
      </c>
      <c r="H44" s="6">
        <v>0</v>
      </c>
      <c r="I44" s="20">
        <f t="shared" si="7"/>
        <v>0</v>
      </c>
      <c r="J44" s="17">
        <f t="shared" si="8"/>
        <v>10.7662117462538</v>
      </c>
      <c r="K44" s="6">
        <v>611028.72</v>
      </c>
      <c r="L44" s="17">
        <f t="shared" si="9"/>
        <v>0.24535201880526991</v>
      </c>
      <c r="M44" s="10">
        <v>116</v>
      </c>
      <c r="N44" s="10">
        <v>102</v>
      </c>
      <c r="O44" s="22">
        <f t="shared" si="10"/>
        <v>0.87931034482758619</v>
      </c>
      <c r="P44" s="17">
        <f t="shared" si="0"/>
        <v>207484.13999999998</v>
      </c>
      <c r="Q44" s="17">
        <f t="shared" si="1"/>
        <v>1015</v>
      </c>
      <c r="R44">
        <f t="shared" si="2"/>
        <v>14</v>
      </c>
      <c r="S44">
        <f t="shared" si="3"/>
        <v>90</v>
      </c>
      <c r="T44" s="1">
        <f t="shared" si="4"/>
        <v>18397.608472906402</v>
      </c>
      <c r="U44" s="23">
        <f t="shared" si="5"/>
        <v>198072.54844398334</v>
      </c>
    </row>
    <row r="45" spans="1:21" x14ac:dyDescent="0.2">
      <c r="A45" s="9" t="s">
        <v>23</v>
      </c>
      <c r="B45">
        <v>1</v>
      </c>
      <c r="C45" s="11">
        <v>447539</v>
      </c>
      <c r="D45" s="11">
        <v>3811850</v>
      </c>
      <c r="E45" s="11">
        <v>204589</v>
      </c>
      <c r="F45" s="6">
        <v>0</v>
      </c>
      <c r="G45" s="17">
        <f t="shared" si="6"/>
        <v>2.1875027494146804</v>
      </c>
      <c r="H45" s="6">
        <v>0</v>
      </c>
      <c r="I45" s="20">
        <f t="shared" si="7"/>
        <v>0</v>
      </c>
      <c r="J45" s="17">
        <f t="shared" si="8"/>
        <v>8.517358263749081</v>
      </c>
      <c r="K45" s="6">
        <v>23382072</v>
      </c>
      <c r="L45" s="17">
        <f t="shared" si="9"/>
        <v>0.16302447447771096</v>
      </c>
      <c r="M45" s="10">
        <v>2353</v>
      </c>
      <c r="N45" s="10">
        <v>2312</v>
      </c>
      <c r="O45" s="22">
        <f t="shared" si="10"/>
        <v>0.98257543561410965</v>
      </c>
      <c r="P45" s="17">
        <f t="shared" si="0"/>
        <v>631991</v>
      </c>
      <c r="Q45" s="17">
        <f t="shared" si="1"/>
        <v>3674</v>
      </c>
      <c r="R45">
        <f t="shared" si="2"/>
        <v>41</v>
      </c>
      <c r="S45">
        <f t="shared" si="3"/>
        <v>-49</v>
      </c>
      <c r="T45" s="1">
        <f t="shared" si="4"/>
        <v>-8428.8402286336423</v>
      </c>
      <c r="U45" s="23">
        <f t="shared" si="5"/>
        <v>-71791.451975173448</v>
      </c>
    </row>
    <row r="46" spans="1:21" x14ac:dyDescent="0.2">
      <c r="A46" s="9" t="s">
        <v>23</v>
      </c>
      <c r="B46">
        <v>1</v>
      </c>
      <c r="C46" s="11">
        <v>184452</v>
      </c>
      <c r="D46" s="11">
        <v>1895094</v>
      </c>
      <c r="E46" s="11">
        <v>89328</v>
      </c>
      <c r="F46" s="6">
        <v>0</v>
      </c>
      <c r="G46" s="17">
        <f t="shared" si="6"/>
        <v>2.0648844707146696</v>
      </c>
      <c r="H46" s="6">
        <v>0</v>
      </c>
      <c r="I46" s="20">
        <f t="shared" si="7"/>
        <v>0</v>
      </c>
      <c r="J46" s="17">
        <f t="shared" si="8"/>
        <v>10.274185153861167</v>
      </c>
      <c r="K46" s="11">
        <v>11704744</v>
      </c>
      <c r="L46" s="17">
        <f t="shared" si="9"/>
        <v>0.16190819722327973</v>
      </c>
      <c r="M46" s="10">
        <v>1321</v>
      </c>
      <c r="N46" s="10">
        <v>1411</v>
      </c>
      <c r="O46" s="22">
        <f t="shared" si="10"/>
        <v>1.0681302043906131</v>
      </c>
      <c r="P46" s="17">
        <f t="shared" si="0"/>
        <v>631991</v>
      </c>
      <c r="Q46" s="17">
        <f t="shared" si="1"/>
        <v>3674</v>
      </c>
      <c r="R46">
        <f t="shared" si="2"/>
        <v>-90</v>
      </c>
      <c r="S46">
        <f t="shared" si="3"/>
        <v>-49</v>
      </c>
      <c r="T46" s="1">
        <f t="shared" si="4"/>
        <v>-8428.8402286336423</v>
      </c>
      <c r="U46" s="23">
        <f t="shared" si="5"/>
        <v>-86599.465141295528</v>
      </c>
    </row>
    <row r="47" spans="1:21" x14ac:dyDescent="0.2">
      <c r="A47" s="9" t="s">
        <v>23</v>
      </c>
      <c r="B47">
        <v>2</v>
      </c>
      <c r="C47" s="11">
        <v>172497</v>
      </c>
      <c r="D47" s="11">
        <v>1932106.9</v>
      </c>
      <c r="E47" s="11">
        <v>86243.07</v>
      </c>
      <c r="F47" s="6">
        <v>0</v>
      </c>
      <c r="G47" s="17">
        <f t="shared" si="6"/>
        <v>2.0001259231611304</v>
      </c>
      <c r="H47" s="6">
        <v>0</v>
      </c>
      <c r="I47" s="20">
        <f t="shared" si="7"/>
        <v>0</v>
      </c>
      <c r="J47" s="17">
        <f t="shared" si="8"/>
        <v>11.20081450691896</v>
      </c>
      <c r="K47" s="11">
        <v>4613294.91</v>
      </c>
      <c r="L47" s="17">
        <f t="shared" si="9"/>
        <v>0.41881278732297644</v>
      </c>
      <c r="M47" s="10">
        <v>364</v>
      </c>
      <c r="N47" s="10">
        <v>351</v>
      </c>
      <c r="O47" s="22">
        <f t="shared" si="10"/>
        <v>0.9642857142857143</v>
      </c>
      <c r="P47" s="17">
        <f t="shared" si="0"/>
        <v>288028</v>
      </c>
      <c r="Q47" s="17">
        <f t="shared" si="1"/>
        <v>812</v>
      </c>
      <c r="R47">
        <f t="shared" si="2"/>
        <v>13</v>
      </c>
      <c r="S47">
        <f t="shared" si="3"/>
        <v>66</v>
      </c>
      <c r="T47" s="1">
        <f t="shared" si="4"/>
        <v>23411.142857142859</v>
      </c>
      <c r="U47" s="23">
        <f t="shared" si="5"/>
        <v>262223.86853783793</v>
      </c>
    </row>
    <row r="48" spans="1:21" x14ac:dyDescent="0.2">
      <c r="A48" s="9" t="s">
        <v>23</v>
      </c>
      <c r="B48">
        <v>2</v>
      </c>
      <c r="C48" s="11">
        <v>32275</v>
      </c>
      <c r="D48" s="11">
        <v>297066.76</v>
      </c>
      <c r="E48" s="11">
        <v>14442</v>
      </c>
      <c r="F48" s="6">
        <v>0</v>
      </c>
      <c r="G48" s="17">
        <f t="shared" si="6"/>
        <v>2.2348012740617644</v>
      </c>
      <c r="H48" s="6">
        <v>0</v>
      </c>
      <c r="I48" s="20">
        <f t="shared" si="7"/>
        <v>0</v>
      </c>
      <c r="J48" s="17">
        <f t="shared" si="8"/>
        <v>9.2042373353989166</v>
      </c>
      <c r="K48" s="6">
        <v>1368253.34</v>
      </c>
      <c r="L48" s="17">
        <f t="shared" si="9"/>
        <v>0.21711385699961089</v>
      </c>
      <c r="M48" s="10">
        <v>252</v>
      </c>
      <c r="N48" s="10">
        <v>248</v>
      </c>
      <c r="O48" s="22">
        <f t="shared" si="10"/>
        <v>0.98412698412698407</v>
      </c>
      <c r="P48" s="17">
        <f t="shared" si="0"/>
        <v>288028</v>
      </c>
      <c r="Q48" s="17">
        <f t="shared" si="1"/>
        <v>812</v>
      </c>
      <c r="R48">
        <f t="shared" si="2"/>
        <v>4</v>
      </c>
      <c r="S48">
        <f t="shared" si="3"/>
        <v>66</v>
      </c>
      <c r="T48" s="1">
        <f t="shared" si="4"/>
        <v>23411.142857142859</v>
      </c>
      <c r="U48" s="23">
        <f t="shared" si="5"/>
        <v>215481.71515007198</v>
      </c>
    </row>
    <row r="49" spans="1:21" x14ac:dyDescent="0.2">
      <c r="A49" s="9" t="s">
        <v>23</v>
      </c>
      <c r="B49">
        <v>2</v>
      </c>
      <c r="C49" s="11">
        <v>83256</v>
      </c>
      <c r="D49" s="11">
        <v>883645.05</v>
      </c>
      <c r="E49" s="11">
        <v>29370.147099999998</v>
      </c>
      <c r="F49" s="11">
        <v>10624.114460000001</v>
      </c>
      <c r="G49" s="17">
        <f t="shared" si="6"/>
        <v>2.8347151179232606</v>
      </c>
      <c r="H49">
        <v>2084</v>
      </c>
      <c r="I49" s="20">
        <f t="shared" si="7"/>
        <v>5.097943598848369</v>
      </c>
      <c r="J49" s="17">
        <f t="shared" si="8"/>
        <v>10.6135900115307</v>
      </c>
      <c r="K49" s="6">
        <v>1997559.84</v>
      </c>
      <c r="L49" s="17">
        <f t="shared" si="9"/>
        <v>0.44236224232461541</v>
      </c>
      <c r="M49" s="10">
        <v>196</v>
      </c>
      <c r="N49" s="10">
        <v>147</v>
      </c>
      <c r="O49" s="22">
        <f t="shared" si="10"/>
        <v>0.75</v>
      </c>
      <c r="P49" s="17">
        <f t="shared" si="0"/>
        <v>288028</v>
      </c>
      <c r="Q49" s="17">
        <f t="shared" si="1"/>
        <v>812</v>
      </c>
      <c r="R49">
        <f t="shared" si="2"/>
        <v>49</v>
      </c>
      <c r="S49">
        <f t="shared" si="3"/>
        <v>66</v>
      </c>
      <c r="T49" s="1">
        <f t="shared" si="4"/>
        <v>23411.142857142859</v>
      </c>
      <c r="U49" s="23">
        <f t="shared" si="5"/>
        <v>248476.27198708974</v>
      </c>
    </row>
    <row r="50" spans="1:21" x14ac:dyDescent="0.2">
      <c r="A50" s="9" t="s">
        <v>23</v>
      </c>
      <c r="B50">
        <v>3</v>
      </c>
      <c r="C50" s="11">
        <v>210688.09</v>
      </c>
      <c r="D50" s="11">
        <v>2650620.7799999998</v>
      </c>
      <c r="E50" s="11">
        <v>103965.82</v>
      </c>
      <c r="F50" s="6">
        <v>0</v>
      </c>
      <c r="G50" s="17">
        <f t="shared" si="6"/>
        <v>2.0265130405358223</v>
      </c>
      <c r="H50" s="6">
        <v>0</v>
      </c>
      <c r="I50" s="20">
        <f t="shared" si="7"/>
        <v>0</v>
      </c>
      <c r="J50" s="17">
        <f t="shared" si="8"/>
        <v>12.580781286687824</v>
      </c>
      <c r="K50" s="6">
        <v>7676342.4100000001</v>
      </c>
      <c r="L50" s="17">
        <f t="shared" si="9"/>
        <v>0.34529736148129947</v>
      </c>
      <c r="M50" s="10">
        <v>938</v>
      </c>
      <c r="N50" s="10">
        <v>645</v>
      </c>
      <c r="O50" s="22">
        <f t="shared" si="10"/>
        <v>0.68763326226012789</v>
      </c>
      <c r="P50" s="17">
        <f t="shared" si="0"/>
        <v>221002.09</v>
      </c>
      <c r="Q50" s="17">
        <f t="shared" si="1"/>
        <v>1008</v>
      </c>
      <c r="R50">
        <f t="shared" si="2"/>
        <v>293</v>
      </c>
      <c r="S50">
        <f t="shared" si="3"/>
        <v>293</v>
      </c>
      <c r="T50" s="1">
        <f t="shared" si="4"/>
        <v>64239.694811507943</v>
      </c>
      <c r="U50" s="23">
        <f t="shared" si="5"/>
        <v>808185.55034715601</v>
      </c>
    </row>
    <row r="51" spans="1:21" x14ac:dyDescent="0.2">
      <c r="A51" s="9" t="s">
        <v>23</v>
      </c>
      <c r="B51">
        <v>3</v>
      </c>
      <c r="C51" s="11">
        <v>10314</v>
      </c>
      <c r="D51" s="11">
        <v>105933.12</v>
      </c>
      <c r="E51" s="11">
        <v>12565.8</v>
      </c>
      <c r="F51" s="6">
        <v>0</v>
      </c>
      <c r="G51" s="17">
        <f t="shared" si="6"/>
        <v>0.82079931241942417</v>
      </c>
      <c r="H51" s="6">
        <v>0</v>
      </c>
      <c r="I51" s="20">
        <f t="shared" si="7"/>
        <v>0</v>
      </c>
      <c r="J51" s="17">
        <f t="shared" si="8"/>
        <v>10.270808609656777</v>
      </c>
      <c r="K51" s="6">
        <v>521275</v>
      </c>
      <c r="L51" s="17">
        <f t="shared" si="9"/>
        <v>0.20321926046712388</v>
      </c>
      <c r="M51" s="10">
        <v>70</v>
      </c>
      <c r="N51" s="10">
        <v>70</v>
      </c>
      <c r="O51" s="22">
        <f t="shared" si="10"/>
        <v>1</v>
      </c>
      <c r="P51" s="17">
        <f t="shared" si="0"/>
        <v>221002.09</v>
      </c>
      <c r="Q51" s="17">
        <f t="shared" si="1"/>
        <v>1008</v>
      </c>
      <c r="R51">
        <f t="shared" si="2"/>
        <v>0</v>
      </c>
      <c r="S51">
        <f t="shared" si="3"/>
        <v>293</v>
      </c>
      <c r="T51" s="1">
        <f t="shared" si="4"/>
        <v>64239.694811507943</v>
      </c>
      <c r="U51" s="23">
        <f t="shared" si="5"/>
        <v>659793.6105517596</v>
      </c>
    </row>
    <row r="52" spans="1:21" x14ac:dyDescent="0.2">
      <c r="A52" s="9" t="s">
        <v>23</v>
      </c>
      <c r="B52">
        <v>4</v>
      </c>
      <c r="C52" s="11">
        <v>225521</v>
      </c>
      <c r="D52" s="11">
        <v>2495250.96</v>
      </c>
      <c r="E52" s="11">
        <v>106069.22</v>
      </c>
      <c r="F52" s="6">
        <v>0</v>
      </c>
      <c r="G52" s="17">
        <f t="shared" si="6"/>
        <v>2.1261681758383819</v>
      </c>
      <c r="H52" s="6">
        <v>0</v>
      </c>
      <c r="I52" s="20">
        <f t="shared" si="7"/>
        <v>0</v>
      </c>
      <c r="J52" s="17">
        <f t="shared" si="8"/>
        <v>11.064384070663042</v>
      </c>
      <c r="K52" s="6">
        <v>7679202.0199999996</v>
      </c>
      <c r="L52" s="17">
        <f t="shared" si="9"/>
        <v>0.32493623080904444</v>
      </c>
      <c r="M52" s="10">
        <v>928</v>
      </c>
      <c r="N52" s="10">
        <v>792</v>
      </c>
      <c r="O52" s="22">
        <f t="shared" si="10"/>
        <v>0.85344827586206895</v>
      </c>
      <c r="P52" s="17">
        <f t="shared" si="0"/>
        <v>284209</v>
      </c>
      <c r="Q52" s="17">
        <f t="shared" si="1"/>
        <v>1203</v>
      </c>
      <c r="R52">
        <f t="shared" si="2"/>
        <v>136</v>
      </c>
      <c r="S52">
        <f t="shared" si="3"/>
        <v>136</v>
      </c>
      <c r="T52" s="1">
        <f t="shared" si="4"/>
        <v>32130.028262676638</v>
      </c>
      <c r="U52" s="23">
        <f t="shared" si="5"/>
        <v>355498.97289951274</v>
      </c>
    </row>
    <row r="53" spans="1:21" x14ac:dyDescent="0.2">
      <c r="A53" s="9" t="s">
        <v>23</v>
      </c>
      <c r="B53">
        <v>4</v>
      </c>
      <c r="C53" s="11">
        <v>42164</v>
      </c>
      <c r="D53" s="11">
        <v>481583.02</v>
      </c>
      <c r="E53" s="11">
        <v>19228.23</v>
      </c>
      <c r="F53" s="6">
        <v>0</v>
      </c>
      <c r="G53" s="17">
        <f t="shared" si="6"/>
        <v>2.1928175396279324</v>
      </c>
      <c r="H53" s="6">
        <v>0</v>
      </c>
      <c r="I53" s="20">
        <f t="shared" si="7"/>
        <v>0</v>
      </c>
      <c r="J53" s="17">
        <f t="shared" si="8"/>
        <v>11.421663504411347</v>
      </c>
      <c r="K53" s="6">
        <v>1771116</v>
      </c>
      <c r="L53" s="17">
        <f t="shared" si="9"/>
        <v>0.2719093611033947</v>
      </c>
      <c r="M53" s="10">
        <v>256</v>
      </c>
      <c r="N53" s="10">
        <v>256</v>
      </c>
      <c r="O53" s="22">
        <f t="shared" si="10"/>
        <v>1</v>
      </c>
      <c r="P53" s="17">
        <f t="shared" si="0"/>
        <v>284209</v>
      </c>
      <c r="Q53" s="17">
        <f t="shared" si="1"/>
        <v>1203</v>
      </c>
      <c r="R53">
        <f t="shared" si="2"/>
        <v>0</v>
      </c>
      <c r="S53">
        <f t="shared" si="3"/>
        <v>136</v>
      </c>
      <c r="T53" s="1">
        <f t="shared" si="4"/>
        <v>32130.028262676638</v>
      </c>
      <c r="U53" s="23">
        <f t="shared" si="5"/>
        <v>366978.37120351888</v>
      </c>
    </row>
    <row r="54" spans="1:21" x14ac:dyDescent="0.2">
      <c r="A54" s="9" t="s">
        <v>23</v>
      </c>
      <c r="B54">
        <v>4</v>
      </c>
      <c r="C54" s="11">
        <v>16524</v>
      </c>
      <c r="D54" s="11">
        <v>214785.22</v>
      </c>
      <c r="E54" s="11">
        <v>5901</v>
      </c>
      <c r="F54" s="11">
        <v>3218</v>
      </c>
      <c r="G54" s="17">
        <f t="shared" si="6"/>
        <v>2.8002033553634975</v>
      </c>
      <c r="H54" s="10">
        <v>984</v>
      </c>
      <c r="I54" s="20">
        <f t="shared" si="7"/>
        <v>3.2703252032520327</v>
      </c>
      <c r="J54" s="17">
        <f t="shared" si="8"/>
        <v>12.998379327039459</v>
      </c>
      <c r="K54" s="6">
        <v>1433000</v>
      </c>
      <c r="L54" s="17">
        <f t="shared" si="9"/>
        <v>0.14988501046755059</v>
      </c>
      <c r="M54" s="10">
        <v>19</v>
      </c>
      <c r="N54" s="10">
        <v>19</v>
      </c>
      <c r="O54" s="22">
        <f t="shared" si="10"/>
        <v>1</v>
      </c>
      <c r="P54" s="17">
        <f t="shared" si="0"/>
        <v>284209</v>
      </c>
      <c r="Q54" s="17">
        <f t="shared" si="1"/>
        <v>1203</v>
      </c>
      <c r="R54">
        <f t="shared" si="2"/>
        <v>0</v>
      </c>
      <c r="S54">
        <f t="shared" si="3"/>
        <v>136</v>
      </c>
      <c r="T54" s="1">
        <f t="shared" si="4"/>
        <v>32130.028262676638</v>
      </c>
      <c r="U54" s="23">
        <f t="shared" si="5"/>
        <v>417638.29514676955</v>
      </c>
    </row>
    <row r="55" spans="1:21" x14ac:dyDescent="0.2">
      <c r="A55" s="9" t="s">
        <v>23</v>
      </c>
      <c r="B55">
        <v>5</v>
      </c>
      <c r="C55" s="11">
        <v>131293</v>
      </c>
      <c r="D55" s="11">
        <v>1951498.14</v>
      </c>
      <c r="E55" s="11">
        <v>66696.81</v>
      </c>
      <c r="F55" s="6">
        <v>0</v>
      </c>
      <c r="G55" s="17">
        <f t="shared" si="6"/>
        <v>1.968504940491157</v>
      </c>
      <c r="H55" s="6">
        <v>0</v>
      </c>
      <c r="I55" s="20">
        <f t="shared" si="7"/>
        <v>0</v>
      </c>
      <c r="J55" s="17">
        <f t="shared" si="8"/>
        <v>14.863687629957422</v>
      </c>
      <c r="K55" s="6">
        <v>6574450.7199999997</v>
      </c>
      <c r="L55" s="17">
        <f t="shared" si="9"/>
        <v>0.29683059819178326</v>
      </c>
      <c r="M55" s="10">
        <v>416</v>
      </c>
      <c r="N55" s="10">
        <v>414</v>
      </c>
      <c r="O55" s="22">
        <f t="shared" si="10"/>
        <v>0.99519230769230771</v>
      </c>
      <c r="P55" s="17">
        <f t="shared" si="0"/>
        <v>131947</v>
      </c>
      <c r="Q55" s="17">
        <f t="shared" si="1"/>
        <v>428</v>
      </c>
      <c r="R55">
        <f t="shared" si="2"/>
        <v>2</v>
      </c>
      <c r="S55">
        <f t="shared" si="3"/>
        <v>2</v>
      </c>
      <c r="T55" s="1">
        <f t="shared" si="4"/>
        <v>616.57476635514024</v>
      </c>
      <c r="U55" s="23">
        <f t="shared" si="5"/>
        <v>9164.5747276167858</v>
      </c>
    </row>
    <row r="56" spans="1:21" x14ac:dyDescent="0.2">
      <c r="A56" s="9" t="s">
        <v>23</v>
      </c>
      <c r="B56">
        <v>5</v>
      </c>
      <c r="C56" s="11">
        <v>654</v>
      </c>
      <c r="D56" s="11">
        <v>0</v>
      </c>
      <c r="E56" s="11">
        <v>0</v>
      </c>
      <c r="F56" s="6">
        <v>0</v>
      </c>
      <c r="G56" s="17">
        <f t="shared" si="6"/>
        <v>0</v>
      </c>
      <c r="H56" s="6">
        <v>0</v>
      </c>
      <c r="I56" s="20">
        <f t="shared" si="7"/>
        <v>0</v>
      </c>
      <c r="J56" s="17">
        <f t="shared" si="8"/>
        <v>0</v>
      </c>
      <c r="K56" s="6">
        <v>60000</v>
      </c>
      <c r="L56" s="17">
        <f t="shared" si="9"/>
        <v>0</v>
      </c>
      <c r="M56" s="10">
        <v>12</v>
      </c>
      <c r="N56" s="10">
        <v>12</v>
      </c>
      <c r="O56" s="22">
        <f t="shared" si="10"/>
        <v>1</v>
      </c>
      <c r="P56" s="17">
        <f t="shared" si="0"/>
        <v>131947</v>
      </c>
      <c r="Q56" s="17">
        <f t="shared" si="1"/>
        <v>428</v>
      </c>
      <c r="R56">
        <f t="shared" si="2"/>
        <v>0</v>
      </c>
      <c r="S56">
        <f t="shared" si="3"/>
        <v>2</v>
      </c>
      <c r="T56" s="1">
        <f t="shared" si="4"/>
        <v>616.57476635514024</v>
      </c>
      <c r="U56" s="23">
        <f t="shared" si="5"/>
        <v>0</v>
      </c>
    </row>
    <row r="57" spans="1:21" x14ac:dyDescent="0.2">
      <c r="A57" s="9" t="s">
        <v>23</v>
      </c>
      <c r="B57">
        <v>6</v>
      </c>
      <c r="C57" s="11">
        <v>55267</v>
      </c>
      <c r="D57" s="11">
        <v>495858.08</v>
      </c>
      <c r="E57" s="11">
        <v>20426</v>
      </c>
      <c r="F57" s="11">
        <v>13206</v>
      </c>
      <c r="G57" s="17">
        <f t="shared" si="6"/>
        <v>2.7057182022911976</v>
      </c>
      <c r="H57" s="6">
        <v>0</v>
      </c>
      <c r="I57" s="20">
        <f t="shared" si="7"/>
        <v>0</v>
      </c>
      <c r="J57" s="17">
        <f t="shared" si="8"/>
        <v>8.9720462482132195</v>
      </c>
      <c r="K57" s="6">
        <v>1811015.04</v>
      </c>
      <c r="L57" s="17">
        <f t="shared" si="9"/>
        <v>0.27380119383216167</v>
      </c>
      <c r="M57" s="10">
        <v>150</v>
      </c>
      <c r="N57" s="10">
        <v>150</v>
      </c>
      <c r="O57" s="22">
        <f t="shared" si="10"/>
        <v>1</v>
      </c>
      <c r="P57" s="17">
        <f t="shared" si="0"/>
        <v>55267</v>
      </c>
      <c r="Q57" s="17">
        <f t="shared" si="1"/>
        <v>150</v>
      </c>
      <c r="R57">
        <f t="shared" si="2"/>
        <v>0</v>
      </c>
      <c r="S57">
        <f t="shared" si="3"/>
        <v>0</v>
      </c>
      <c r="T57" s="1">
        <f t="shared" si="4"/>
        <v>0</v>
      </c>
      <c r="U57" s="23">
        <f t="shared" si="5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 Generales</vt:lpstr>
      <vt:lpstr>Plantilla</vt:lpstr>
      <vt:lpstr>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Dorantes Martínez</dc:creator>
  <cp:lastModifiedBy>Valeria Gisel Concha Valdovinos</cp:lastModifiedBy>
  <dcterms:created xsi:type="dcterms:W3CDTF">2025-12-03T13:29:57Z</dcterms:created>
  <dcterms:modified xsi:type="dcterms:W3CDTF">2025-12-03T22:21:09Z</dcterms:modified>
</cp:coreProperties>
</file>